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suarios" sheetId="2" state="visible" r:id="rId2"/>
    <sheet xmlns:r="http://schemas.openxmlformats.org/officeDocument/2006/relationships" name="Interacciones" sheetId="3" state="visible" r:id="rId3"/>
    <sheet xmlns:r="http://schemas.openxmlformats.org/officeDocument/2006/relationships" name="Catalogo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i val="1"/>
      <color rgb="0044546A"/>
    </font>
    <font>
      <b val="1"/>
      <color rgb="000B1F33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B1F33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bottom style="thin">
        <color rgb="00D9E2EC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Contactos y sesiones por día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'Dashboard'!$A$10:$A$16</f>
            </numRef>
          </cat>
          <val>
            <numRef>
              <f>'Dashboard'!$C$10:$C$16</f>
            </numRef>
          </val>
        </ser>
        <ser>
          <idx val="1"/>
          <order val="1"/>
          <tx>
            <strRef>
              <f>'Dashboard'!D9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'Dashboard'!$A$10:$A$16</f>
            </numRef>
          </cat>
          <val>
            <numRef>
              <f>'Dashboard'!$D$10:$D$16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Calificación promedio diaria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'Dashboard'!E9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'Dashboard'!$A$10:$A$16</f>
            </numRef>
          </cat>
          <val>
            <numRef>
              <f>'Dashboard'!$E$10:$E$16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Puntaje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70" customWidth="1" min="8" max="8"/>
  </cols>
  <sheetData>
    <row r="1" ht="24" customHeight="1">
      <c r="A1" s="1" t="inlineStr">
        <is>
          <t>Dashboard de inserción - Gemelo Digital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Uso ejecutivo diario: estado del gemelo, avance de contactos, sesiones, aceptación y adopción operativa.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Usuarios registrados
=COUNTA(Usuarios!B2:B201)</t>
        </is>
      </c>
      <c r="B4" s="2" t="n"/>
      <c r="C4" s="4" t="inlineStr">
        <is>
          <t>Contactados
=COUNTIF(Usuarios!K2:K201,"E - Contactado")+COUNTIF(Usuarios!K2:K201,"P - Programado")+COUNTIF(Usuarios!K2:K201,"R - Reunión realizada")+COUNTIF(Usuarios!K2:K201,"C - Cerrado")+COUNTIF(Usuarios!K2:K201,"A - Activo")</t>
        </is>
      </c>
      <c r="D4" s="2" t="n"/>
      <c r="E4" s="4" t="inlineStr">
        <is>
          <t>Sesiones realizadas
=COUNTIF(Usuarios!K2:K201,"R - Reunión realizada")</t>
        </is>
      </c>
      <c r="F4" s="2" t="n"/>
      <c r="G4" s="4" t="inlineStr">
        <is>
          <t>Calificación promedio
=IFERROR(AVERAGEIF(Usuarios!N2:N201,"&gt;0"),"")</t>
        </is>
      </c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 ht="24" customHeight="1">
      <c r="A8" s="5" t="inlineStr">
        <is>
          <t>Reporte diario sugerido</t>
        </is>
      </c>
      <c r="B8" s="2" t="n"/>
      <c r="C8" s="2" t="n"/>
      <c r="D8" s="2" t="n"/>
      <c r="E8" s="2" t="n"/>
      <c r="F8" s="2" t="n"/>
      <c r="G8" s="2" t="n"/>
      <c r="H8" s="2" t="n"/>
    </row>
    <row r="9" ht="24" customHeight="1">
      <c r="A9" s="5" t="inlineStr">
        <is>
          <t>Fecha</t>
        </is>
      </c>
      <c r="B9" s="5" t="inlineStr">
        <is>
          <t>Gemelo estable</t>
        </is>
      </c>
      <c r="C9" s="5" t="inlineStr">
        <is>
          <t>Usuarios contactados</t>
        </is>
      </c>
      <c r="D9" s="5" t="inlineStr">
        <is>
          <t>Sesiones realizadas</t>
        </is>
      </c>
      <c r="E9" s="5" t="inlineStr">
        <is>
          <t>Calificación promedio</t>
        </is>
      </c>
      <c r="F9" s="5" t="inlineStr">
        <is>
          <t>Solicitudes escaladas</t>
        </is>
      </c>
      <c r="G9" s="5" t="inlineStr">
        <is>
          <t>Casos de uso</t>
        </is>
      </c>
      <c r="H9" s="5" t="inlineStr">
        <is>
          <t>Mensaje ejecutivo</t>
        </is>
      </c>
    </row>
    <row r="10">
      <c r="A10" s="6" t="n">
        <v>46221</v>
      </c>
      <c r="B10" s="2">
        <f>IF(COUNTIFS(Interacciones!$A:$A,A10,Interacciones!$P:$P,"No")&gt;0,"No","Sí")</f>
        <v/>
      </c>
      <c r="C10" s="2">
        <f>COUNTIFS(Interacciones!$A:$A,A10,Interacciones!$G:$G,"E - Contactado")</f>
        <v/>
      </c>
      <c r="D10" s="2">
        <f>COUNTIFS(Interacciones!$A:$A,A10,Interacciones!$G:$G,"R - Reunión realizada")</f>
        <v/>
      </c>
      <c r="E10" s="2">
        <f>IFERROR(AVERAGEIFS(Interacciones!$I:$I,Interacciones!$A:$A,A10,Interacciones!$I:$I,"&gt;0"),"")</f>
        <v/>
      </c>
      <c r="F10" s="2">
        <f>COUNTIFS(Interacciones!$A:$A,A10,Interacciones!$G:$G,"ES - Solicitud escalada")</f>
        <v/>
      </c>
      <c r="G10" s="2">
        <f>COUNTIFS(Interacciones!$A:$A,A10,Interacciones!$O:$O,"&lt;&gt;")</f>
        <v/>
      </c>
      <c r="H10" s="2">
        <f>IF(B10="Sí","Gemelo estable. ","Gemelo con observación. ")&amp;C10&amp;" usuarios contactados. "&amp;D10&amp;" sesiones realizadas. Calificación promedio: "&amp;IF(E10="","N/D",TEXT(E10,"0.0")&amp;"/5")&amp;"."</f>
        <v/>
      </c>
    </row>
    <row r="11">
      <c r="A11" s="6" t="n">
        <v>46222</v>
      </c>
      <c r="B11" s="2">
        <f>IF(COUNTIFS(Interacciones!$A:$A,A11,Interacciones!$P:$P,"No")&gt;0,"No","Sí")</f>
        <v/>
      </c>
      <c r="C11" s="2">
        <f>COUNTIFS(Interacciones!$A:$A,A11,Interacciones!$G:$G,"E - Contactado")</f>
        <v/>
      </c>
      <c r="D11" s="2">
        <f>COUNTIFS(Interacciones!$A:$A,A11,Interacciones!$G:$G,"R - Reunión realizada")</f>
        <v/>
      </c>
      <c r="E11" s="2">
        <f>IFERROR(AVERAGEIFS(Interacciones!$I:$I,Interacciones!$A:$A,A11,Interacciones!$I:$I,"&gt;0"),"")</f>
        <v/>
      </c>
      <c r="F11" s="2">
        <f>COUNTIFS(Interacciones!$A:$A,A11,Interacciones!$G:$G,"ES - Solicitud escalada")</f>
        <v/>
      </c>
      <c r="G11" s="2">
        <f>COUNTIFS(Interacciones!$A:$A,A11,Interacciones!$O:$O,"&lt;&gt;")</f>
        <v/>
      </c>
      <c r="H11" s="2">
        <f>IF(B11="Sí","Gemelo estable. ","Gemelo con observación. ")&amp;C11&amp;" usuarios contactados. "&amp;D11&amp;" sesiones realizadas. Calificación promedio: "&amp;IF(E11="","N/D",TEXT(E11,"0.0")&amp;"/5")&amp;"."</f>
        <v/>
      </c>
    </row>
    <row r="12">
      <c r="A12" s="6" t="n">
        <v>46223</v>
      </c>
      <c r="B12" s="2">
        <f>IF(COUNTIFS(Interacciones!$A:$A,A12,Interacciones!$P:$P,"No")&gt;0,"No","Sí")</f>
        <v/>
      </c>
      <c r="C12" s="2">
        <f>COUNTIFS(Interacciones!$A:$A,A12,Interacciones!$G:$G,"E - Contactado")</f>
        <v/>
      </c>
      <c r="D12" s="2">
        <f>COUNTIFS(Interacciones!$A:$A,A12,Interacciones!$G:$G,"R - Reunión realizada")</f>
        <v/>
      </c>
      <c r="E12" s="2">
        <f>IFERROR(AVERAGEIFS(Interacciones!$I:$I,Interacciones!$A:$A,A12,Interacciones!$I:$I,"&gt;0"),"")</f>
        <v/>
      </c>
      <c r="F12" s="2">
        <f>COUNTIFS(Interacciones!$A:$A,A12,Interacciones!$G:$G,"ES - Solicitud escalada")</f>
        <v/>
      </c>
      <c r="G12" s="2">
        <f>COUNTIFS(Interacciones!$A:$A,A12,Interacciones!$O:$O,"&lt;&gt;")</f>
        <v/>
      </c>
      <c r="H12" s="2">
        <f>IF(B12="Sí","Gemelo estable. ","Gemelo con observación. ")&amp;C12&amp;" usuarios contactados. "&amp;D12&amp;" sesiones realizadas. Calificación promedio: "&amp;IF(E12="","N/D",TEXT(E12,"0.0")&amp;"/5")&amp;"."</f>
        <v/>
      </c>
    </row>
    <row r="13">
      <c r="A13" s="6" t="n">
        <v>46224</v>
      </c>
      <c r="B13" s="2">
        <f>IF(COUNTIFS(Interacciones!$A:$A,A13,Interacciones!$P:$P,"No")&gt;0,"No","Sí")</f>
        <v/>
      </c>
      <c r="C13" s="2">
        <f>COUNTIFS(Interacciones!$A:$A,A13,Interacciones!$G:$G,"E - Contactado")</f>
        <v/>
      </c>
      <c r="D13" s="2">
        <f>COUNTIFS(Interacciones!$A:$A,A13,Interacciones!$G:$G,"R - Reunión realizada")</f>
        <v/>
      </c>
      <c r="E13" s="2">
        <f>IFERROR(AVERAGEIFS(Interacciones!$I:$I,Interacciones!$A:$A,A13,Interacciones!$I:$I,"&gt;0"),"")</f>
        <v/>
      </c>
      <c r="F13" s="2">
        <f>COUNTIFS(Interacciones!$A:$A,A13,Interacciones!$G:$G,"ES - Solicitud escalada")</f>
        <v/>
      </c>
      <c r="G13" s="2">
        <f>COUNTIFS(Interacciones!$A:$A,A13,Interacciones!$O:$O,"&lt;&gt;")</f>
        <v/>
      </c>
      <c r="H13" s="2">
        <f>IF(B13="Sí","Gemelo estable. ","Gemelo con observación. ")&amp;C13&amp;" usuarios contactados. "&amp;D13&amp;" sesiones realizadas. Calificación promedio: "&amp;IF(E13="","N/D",TEXT(E13,"0.0")&amp;"/5")&amp;"."</f>
        <v/>
      </c>
    </row>
    <row r="14">
      <c r="A14" s="6" t="n">
        <v>46225</v>
      </c>
      <c r="B14" s="2">
        <f>IF(COUNTIFS(Interacciones!$A:$A,A14,Interacciones!$P:$P,"No")&gt;0,"No","Sí")</f>
        <v/>
      </c>
      <c r="C14" s="2">
        <f>COUNTIFS(Interacciones!$A:$A,A14,Interacciones!$G:$G,"E - Contactado")</f>
        <v/>
      </c>
      <c r="D14" s="2">
        <f>COUNTIFS(Interacciones!$A:$A,A14,Interacciones!$G:$G,"R - Reunión realizada")</f>
        <v/>
      </c>
      <c r="E14" s="2">
        <f>IFERROR(AVERAGEIFS(Interacciones!$I:$I,Interacciones!$A:$A,A14,Interacciones!$I:$I,"&gt;0"),"")</f>
        <v/>
      </c>
      <c r="F14" s="2">
        <f>COUNTIFS(Interacciones!$A:$A,A14,Interacciones!$G:$G,"ES - Solicitud escalada")</f>
        <v/>
      </c>
      <c r="G14" s="2">
        <f>COUNTIFS(Interacciones!$A:$A,A14,Interacciones!$O:$O,"&lt;&gt;")</f>
        <v/>
      </c>
      <c r="H14" s="2">
        <f>IF(B14="Sí","Gemelo estable. ","Gemelo con observación. ")&amp;C14&amp;" usuarios contactados. "&amp;D14&amp;" sesiones realizadas. Calificación promedio: "&amp;IF(E14="","N/D",TEXT(E14,"0.0")&amp;"/5")&amp;"."</f>
        <v/>
      </c>
    </row>
    <row r="15">
      <c r="A15" s="6" t="n">
        <v>46226</v>
      </c>
      <c r="B15" s="2">
        <f>IF(COUNTIFS(Interacciones!$A:$A,A15,Interacciones!$P:$P,"No")&gt;0,"No","Sí")</f>
        <v/>
      </c>
      <c r="C15" s="2">
        <f>COUNTIFS(Interacciones!$A:$A,A15,Interacciones!$G:$G,"E - Contactado")</f>
        <v/>
      </c>
      <c r="D15" s="2">
        <f>COUNTIFS(Interacciones!$A:$A,A15,Interacciones!$G:$G,"R - Reunión realizada")</f>
        <v/>
      </c>
      <c r="E15" s="2">
        <f>IFERROR(AVERAGEIFS(Interacciones!$I:$I,Interacciones!$A:$A,A15,Interacciones!$I:$I,"&gt;0"),"")</f>
        <v/>
      </c>
      <c r="F15" s="2">
        <f>COUNTIFS(Interacciones!$A:$A,A15,Interacciones!$G:$G,"ES - Solicitud escalada")</f>
        <v/>
      </c>
      <c r="G15" s="2">
        <f>COUNTIFS(Interacciones!$A:$A,A15,Interacciones!$O:$O,"&lt;&gt;")</f>
        <v/>
      </c>
      <c r="H15" s="2">
        <f>IF(B15="Sí","Gemelo estable. ","Gemelo con observación. ")&amp;C15&amp;" usuarios contactados. "&amp;D15&amp;" sesiones realizadas. Calificación promedio: "&amp;IF(E15="","N/D",TEXT(E15,"0.0")&amp;"/5")&amp;"."</f>
        <v/>
      </c>
    </row>
    <row r="16">
      <c r="A16" s="6" t="n">
        <v>46227</v>
      </c>
      <c r="B16" s="2">
        <f>IF(COUNTIFS(Interacciones!$A:$A,A16,Interacciones!$P:$P,"No")&gt;0,"No","Sí")</f>
        <v/>
      </c>
      <c r="C16" s="2">
        <f>COUNTIFS(Interacciones!$A:$A,A16,Interacciones!$G:$G,"E - Contactado")</f>
        <v/>
      </c>
      <c r="D16" s="2">
        <f>COUNTIFS(Interacciones!$A:$A,A16,Interacciones!$G:$G,"R - Reunión realizada")</f>
        <v/>
      </c>
      <c r="E16" s="2">
        <f>IFERROR(AVERAGEIFS(Interacciones!$I:$I,Interacciones!$A:$A,A16,Interacciones!$I:$I,"&gt;0"),"")</f>
        <v/>
      </c>
      <c r="F16" s="2">
        <f>COUNTIFS(Interacciones!$A:$A,A16,Interacciones!$G:$G,"ES - Solicitud escalada")</f>
        <v/>
      </c>
      <c r="G16" s="2">
        <f>COUNTIFS(Interacciones!$A:$A,A16,Interacciones!$O:$O,"&lt;&gt;")</f>
        <v/>
      </c>
      <c r="H16" s="2">
        <f>IF(B16="Sí","Gemelo estable. ","Gemelo con observación. ")&amp;C16&amp;" usuarios contactados. "&amp;D16&amp;" sesiones realizadas. Calificación promedio: "&amp;IF(E16="","N/D",TEXT(E16,"0.0")&amp;"/5")&amp;"."</f>
        <v/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 ht="24" customHeight="1">
      <c r="A19" s="5" t="inlineStr">
        <is>
          <t>Indicadores de adopción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7" t="inlineStr">
        <is>
          <t>Cobertura de contacto</t>
        </is>
      </c>
      <c r="B20" s="8">
        <f>IFERROR(C5/A5,0)</f>
        <v/>
      </c>
      <c r="C20" s="2" t="inlineStr">
        <is>
          <t>Contactados / usuarios registrados</t>
        </is>
      </c>
      <c r="D20" s="2" t="n"/>
      <c r="E20" s="2" t="n"/>
      <c r="F20" s="2" t="n"/>
      <c r="G20" s="2" t="n"/>
      <c r="H20" s="2" t="n"/>
    </row>
    <row r="21">
      <c r="A21" s="7" t="inlineStr">
        <is>
          <t>Cobertura de inducción</t>
        </is>
      </c>
      <c r="B21" s="8">
        <f>IFERROR(E5/A5,0)</f>
        <v/>
      </c>
      <c r="C21" s="2" t="inlineStr">
        <is>
          <t>Sesiones realizadas / usuarios registrados</t>
        </is>
      </c>
      <c r="D21" s="2" t="n"/>
      <c r="E21" s="2" t="n"/>
      <c r="F21" s="2" t="n"/>
      <c r="G21" s="2" t="n"/>
      <c r="H21" s="2" t="n"/>
    </row>
    <row r="22">
      <c r="A22" s="7" t="inlineStr">
        <is>
          <t>Usuarios activos</t>
        </is>
      </c>
      <c r="B22" s="8">
        <f>COUNTIF(Usuarios!K2:K201,"A - Activo")</f>
        <v/>
      </c>
      <c r="C22" s="2" t="inlineStr">
        <is>
          <t>Estado A - Activo</t>
        </is>
      </c>
      <c r="D22" s="2" t="n"/>
      <c r="E22" s="2" t="n"/>
      <c r="F22" s="2" t="n"/>
      <c r="G22" s="2" t="n"/>
      <c r="H22" s="2" t="n"/>
    </row>
    <row r="23">
      <c r="A23" s="7" t="inlineStr">
        <is>
          <t>Casos de uso identificados</t>
        </is>
      </c>
      <c r="B23" s="8">
        <f>COUNTIF(Usuarios!S2:S201,"&lt;&gt;")</f>
        <v/>
      </c>
      <c r="C23" s="2" t="inlineStr">
        <is>
          <t>Procesos documentados</t>
        </is>
      </c>
      <c r="D23" s="2" t="n"/>
      <c r="E23" s="2" t="n"/>
      <c r="F23" s="2" t="n"/>
      <c r="G23" s="2" t="n"/>
      <c r="H23" s="2" t="n"/>
    </row>
    <row r="24">
      <c r="A24" s="7" t="inlineStr">
        <is>
          <t>Solicitudes escaladas</t>
        </is>
      </c>
      <c r="B24" s="8">
        <f>COUNTIF(Usuarios!K2:K201,"ES - Solicitud escalada")</f>
        <v/>
      </c>
      <c r="C24" s="2" t="inlineStr">
        <is>
          <t>Escalamiento formal</t>
        </is>
      </c>
      <c r="D24" s="2" t="n"/>
      <c r="E24" s="2" t="n"/>
      <c r="F24" s="2" t="n"/>
      <c r="G24" s="2" t="n"/>
      <c r="H24" s="2" t="n"/>
    </row>
  </sheetData>
  <mergeCells count="8">
    <mergeCell ref="C4:D5"/>
    <mergeCell ref="A4:B5"/>
    <mergeCell ref="G4:H5"/>
    <mergeCell ref="E4:F5"/>
    <mergeCell ref="A2:H2"/>
    <mergeCell ref="A19:D19"/>
    <mergeCell ref="A1:H1"/>
    <mergeCell ref="A8:H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8" customWidth="1" min="4" max="4"/>
    <col width="22" customWidth="1" min="5" max="5"/>
    <col width="22" customWidth="1" min="6" max="6"/>
    <col width="14" customWidth="1" min="7" max="7"/>
    <col width="18" customWidth="1" min="8" max="8"/>
    <col width="18" customWidth="1" min="9" max="9"/>
    <col width="18" customWidth="1" min="10" max="10"/>
    <col width="20" customWidth="1" min="11" max="11"/>
    <col width="18" customWidth="1" min="12" max="12"/>
    <col width="16" customWidth="1" min="13" max="13"/>
    <col width="14" customWidth="1" min="14" max="14"/>
    <col width="18" customWidth="1" min="15" max="15"/>
    <col width="34" customWidth="1" min="16" max="16"/>
    <col width="28" customWidth="1" min="17" max="17"/>
    <col width="18" customWidth="1" min="18" max="18"/>
    <col width="36" customWidth="1" min="19" max="19"/>
    <col width="24" customWidth="1" min="20" max="20"/>
    <col width="16" customWidth="1" min="21" max="21"/>
    <col width="28" customWidth="1" min="22" max="22"/>
  </cols>
  <sheetData>
    <row r="1" ht="24" customHeight="1">
      <c r="A1" s="5" t="inlineStr">
        <is>
          <t>ID</t>
        </is>
      </c>
      <c r="B1" s="5" t="inlineStr">
        <is>
          <t>Nombre</t>
        </is>
      </c>
      <c r="C1" s="5" t="inlineStr">
        <is>
          <t>Apellido</t>
        </is>
      </c>
      <c r="D1" s="5" t="inlineStr">
        <is>
          <t>Correo electrónico</t>
        </is>
      </c>
      <c r="E1" s="5" t="inlineStr">
        <is>
          <t>Cargo</t>
        </is>
      </c>
      <c r="F1" s="5" t="inlineStr">
        <is>
          <t>Área</t>
        </is>
      </c>
      <c r="G1" s="5" t="inlineStr">
        <is>
          <t>Régimen</t>
        </is>
      </c>
      <c r="H1" s="5" t="inlineStr">
        <is>
          <t>Fecha primer contacto</t>
        </is>
      </c>
      <c r="I1" s="5" t="inlineStr">
        <is>
          <t>Fecha última interacción</t>
        </is>
      </c>
      <c r="J1" s="5" t="inlineStr">
        <is>
          <t>Medio último contacto</t>
        </is>
      </c>
      <c r="K1" s="5" t="inlineStr">
        <is>
          <t>Estado</t>
        </is>
      </c>
      <c r="L1" s="5" t="inlineStr">
        <is>
          <t>Fecha reunión</t>
        </is>
      </c>
      <c r="M1" s="5" t="inlineStr">
        <is>
          <t>Duración reunión (min)</t>
        </is>
      </c>
      <c r="N1" s="5" t="inlineStr">
        <is>
          <t>Calificación</t>
        </is>
      </c>
      <c r="O1" s="5" t="inlineStr">
        <is>
          <t>Último acceso conocido</t>
        </is>
      </c>
      <c r="P1" s="5" t="inlineStr">
        <is>
          <t>Observaciones</t>
        </is>
      </c>
      <c r="Q1" s="5" t="inlineStr">
        <is>
          <t>Próxima acción</t>
        </is>
      </c>
      <c r="R1" s="5" t="inlineStr">
        <is>
          <t>Fecha próxima acción</t>
        </is>
      </c>
      <c r="S1" s="5" t="inlineStr">
        <is>
          <t>Caso de uso identificado</t>
        </is>
      </c>
      <c r="T1" s="5" t="inlineStr">
        <is>
          <t>Responsable seguimiento</t>
        </is>
      </c>
      <c r="U1" s="5" t="inlineStr">
        <is>
          <t>Grabación autorizada</t>
        </is>
      </c>
      <c r="V1" s="5" t="inlineStr">
        <is>
          <t>Link grabación</t>
        </is>
      </c>
    </row>
    <row r="2" ht="24" customHeight="1">
      <c r="A2" s="2" t="n">
        <v>1</v>
      </c>
      <c r="B2" s="2" t="inlineStr">
        <is>
          <t>Usuario</t>
        </is>
      </c>
      <c r="C2" s="2" t="inlineStr">
        <is>
          <t>Ejemplo</t>
        </is>
      </c>
      <c r="D2" s="2" t="inlineStr">
        <is>
          <t>usuario.ejemplo@cliente.com</t>
        </is>
      </c>
      <c r="E2" s="2" t="inlineStr">
        <is>
          <t>Supervisor</t>
        </is>
      </c>
      <c r="F2" s="2" t="inlineStr">
        <is>
          <t>Operaciones Mina</t>
        </is>
      </c>
      <c r="G2" s="2" t="inlineStr">
        <is>
          <t>4x3</t>
        </is>
      </c>
      <c r="H2" s="6" t="n">
        <v>46221</v>
      </c>
      <c r="I2" s="6" t="n">
        <v>46221</v>
      </c>
      <c r="J2" s="2" t="inlineStr">
        <is>
          <t>Teams</t>
        </is>
      </c>
      <c r="K2" s="2" t="inlineStr">
        <is>
          <t>E - Contactado</t>
        </is>
      </c>
      <c r="L2" s="2" t="n"/>
      <c r="M2" s="2" t="n"/>
      <c r="N2" s="2" t="n"/>
      <c r="O2" s="2" t="n"/>
      <c r="P2" s="2" t="inlineStr">
        <is>
          <t>Pendiente agendar sesión</t>
        </is>
      </c>
      <c r="Q2" s="2" t="inlineStr">
        <is>
          <t>Coordinar inducción</t>
        </is>
      </c>
      <c r="R2" s="6" t="n">
        <v>46222</v>
      </c>
      <c r="S2" s="2" t="inlineStr">
        <is>
          <t>Reparto de guardia</t>
        </is>
      </c>
      <c r="T2" s="2" t="inlineStr">
        <is>
          <t>John Ramos</t>
        </is>
      </c>
      <c r="U2" s="2" t="inlineStr">
        <is>
          <t>No</t>
        </is>
      </c>
      <c r="V2" s="2" t="inlineStr"/>
    </row>
    <row r="3" ht="24" customHeight="1">
      <c r="A3" s="2" t="n">
        <v>2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24" customHeight="1">
      <c r="A4" s="2" t="n">
        <v>3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 ht="24" customHeight="1">
      <c r="A5" s="2" t="n">
        <v>4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 ht="24" customHeight="1">
      <c r="A6" s="2" t="n">
        <v>5</v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 ht="24" customHeight="1">
      <c r="A7" s="2" t="n">
        <v>6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 ht="24" customHeight="1">
      <c r="A8" s="2" t="n">
        <v>7</v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 ht="24" customHeight="1">
      <c r="A9" s="2" t="n">
        <v>8</v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 ht="24" customHeight="1">
      <c r="A10" s="2" t="n">
        <v>9</v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 ht="24" customHeight="1">
      <c r="A11" s="2" t="n">
        <v>10</v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 ht="24" customHeight="1">
      <c r="A12" s="2" t="n">
        <v>11</v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 ht="24" customHeight="1">
      <c r="A13" s="2" t="n">
        <v>12</v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 ht="24" customHeight="1">
      <c r="A14" s="2" t="n">
        <v>13</v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</row>
    <row r="15" ht="24" customHeight="1">
      <c r="A15" s="2" t="n">
        <v>14</v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 ht="24" customHeight="1">
      <c r="A16" s="2" t="n">
        <v>15</v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 ht="24" customHeight="1">
      <c r="A17" s="2" t="n">
        <v>16</v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 ht="24" customHeight="1">
      <c r="A18" s="2" t="n">
        <v>17</v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 ht="24" customHeight="1">
      <c r="A19" s="2" t="n">
        <v>18</v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 ht="24" customHeight="1">
      <c r="A20" s="2" t="n">
        <v>19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 ht="24" customHeight="1">
      <c r="A21" s="2" t="n">
        <v>20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 ht="24" customHeight="1">
      <c r="A22" s="2" t="n">
        <v>21</v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 ht="24" customHeight="1">
      <c r="A23" s="2" t="n">
        <v>22</v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 ht="24" customHeight="1">
      <c r="A24" s="2" t="n">
        <v>23</v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 ht="24" customHeight="1">
      <c r="A25" s="2" t="n">
        <v>24</v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 ht="24" customHeight="1">
      <c r="A26" s="2" t="n">
        <v>25</v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 ht="24" customHeight="1">
      <c r="A27" s="2" t="n">
        <v>26</v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 ht="24" customHeight="1">
      <c r="A28" s="2" t="n">
        <v>27</v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 ht="24" customHeight="1">
      <c r="A29" s="2" t="n">
        <v>28</v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 ht="24" customHeight="1">
      <c r="A30" s="2" t="n">
        <v>29</v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24" customHeight="1">
      <c r="A31" s="2" t="n">
        <v>30</v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24" customHeight="1">
      <c r="A32" s="2" t="n">
        <v>31</v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 ht="24" customHeight="1">
      <c r="A33" s="2" t="n">
        <v>32</v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24" customHeight="1">
      <c r="A34" s="2" t="n">
        <v>33</v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 ht="24" customHeight="1">
      <c r="A35" s="2" t="n">
        <v>34</v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</row>
    <row r="36" ht="24" customHeight="1">
      <c r="A36" s="2" t="n">
        <v>35</v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 ht="24" customHeight="1">
      <c r="A37" s="2" t="n">
        <v>36</v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 ht="24" customHeight="1">
      <c r="A38" s="2" t="n">
        <v>37</v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 ht="24" customHeight="1">
      <c r="A39" s="2" t="n">
        <v>38</v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</row>
    <row r="40" ht="24" customHeight="1">
      <c r="A40" s="2" t="n">
        <v>39</v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 ht="24" customHeight="1">
      <c r="A41" s="2" t="n">
        <v>40</v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 ht="24" customHeight="1">
      <c r="A42" s="2" t="n">
        <v>41</v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 ht="24" customHeight="1">
      <c r="A43" s="2" t="n">
        <v>42</v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</row>
    <row r="44" ht="24" customHeight="1">
      <c r="A44" s="2" t="n">
        <v>43</v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 ht="24" customHeight="1">
      <c r="A45" s="2" t="n">
        <v>44</v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</row>
    <row r="46" ht="24" customHeight="1">
      <c r="A46" s="2" t="n">
        <v>45</v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 ht="24" customHeight="1">
      <c r="A47" s="2" t="n">
        <v>46</v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  <row r="48" ht="24" customHeight="1">
      <c r="A48" s="2" t="n">
        <v>47</v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 ht="24" customHeight="1">
      <c r="A49" s="2" t="n">
        <v>48</v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 ht="24" customHeight="1">
      <c r="A50" s="2" t="n">
        <v>49</v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 ht="24" customHeight="1">
      <c r="A51" s="2" t="n">
        <v>50</v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 ht="24" customHeight="1">
      <c r="A52" s="2" t="n">
        <v>51</v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 ht="24" customHeight="1">
      <c r="A53" s="2" t="n">
        <v>52</v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 ht="24" customHeight="1">
      <c r="A54" s="2" t="n">
        <v>53</v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 ht="24" customHeight="1">
      <c r="A55" s="2" t="n">
        <v>54</v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 ht="24" customHeight="1">
      <c r="A56" s="2" t="n">
        <v>55</v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 ht="24" customHeight="1">
      <c r="A57" s="2" t="n">
        <v>56</v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 ht="24" customHeight="1">
      <c r="A58" s="2" t="n">
        <v>57</v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 ht="24" customHeight="1">
      <c r="A59" s="2" t="n">
        <v>58</v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 ht="24" customHeight="1">
      <c r="A60" s="2" t="n">
        <v>59</v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24" customHeight="1">
      <c r="A61" s="2" t="n">
        <v>60</v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24" customHeight="1">
      <c r="A62" s="2" t="n">
        <v>61</v>
      </c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 ht="24" customHeight="1">
      <c r="A63" s="2" t="n">
        <v>62</v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24" customHeight="1">
      <c r="A64" s="2" t="n">
        <v>63</v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 ht="24" customHeight="1">
      <c r="A65" s="2" t="n">
        <v>64</v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  <row r="66" ht="24" customHeight="1">
      <c r="A66" s="2" t="n">
        <v>65</v>
      </c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</row>
    <row r="67" ht="24" customHeight="1">
      <c r="A67" s="2" t="n">
        <v>66</v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</row>
    <row r="68" ht="24" customHeight="1">
      <c r="A68" s="2" t="n">
        <v>67</v>
      </c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</row>
    <row r="69" ht="24" customHeight="1">
      <c r="A69" s="2" t="n">
        <v>68</v>
      </c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</row>
    <row r="70" ht="24" customHeight="1">
      <c r="A70" s="2" t="n">
        <v>69</v>
      </c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</row>
    <row r="71" ht="24" customHeight="1">
      <c r="A71" s="2" t="n">
        <v>70</v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</row>
    <row r="72" ht="24" customHeight="1">
      <c r="A72" s="2" t="n">
        <v>71</v>
      </c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</row>
    <row r="73" ht="24" customHeight="1">
      <c r="A73" s="2" t="n">
        <v>72</v>
      </c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</row>
    <row r="74" ht="24" customHeight="1">
      <c r="A74" s="2" t="n">
        <v>73</v>
      </c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</row>
    <row r="75" ht="24" customHeight="1">
      <c r="A75" s="2" t="n">
        <v>74</v>
      </c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 ht="24" customHeight="1">
      <c r="A76" s="2" t="n">
        <v>75</v>
      </c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</row>
    <row r="77" ht="24" customHeight="1">
      <c r="A77" s="2" t="n">
        <v>76</v>
      </c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</row>
    <row r="78" ht="24" customHeight="1">
      <c r="A78" s="2" t="n">
        <v>77</v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</row>
    <row r="79" ht="24" customHeight="1">
      <c r="A79" s="2" t="n">
        <v>78</v>
      </c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</row>
    <row r="80" ht="24" customHeight="1">
      <c r="A80" s="2" t="n">
        <v>79</v>
      </c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</row>
    <row r="81" ht="24" customHeight="1">
      <c r="A81" s="2" t="n">
        <v>80</v>
      </c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</row>
    <row r="82" ht="24" customHeight="1">
      <c r="A82" s="2" t="n">
        <v>81</v>
      </c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</row>
    <row r="83" ht="24" customHeight="1">
      <c r="A83" s="2" t="n">
        <v>82</v>
      </c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</row>
    <row r="84" ht="24" customHeight="1">
      <c r="A84" s="2" t="n">
        <v>83</v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</row>
    <row r="85" ht="24" customHeight="1">
      <c r="A85" s="2" t="n">
        <v>84</v>
      </c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</row>
    <row r="86" ht="24" customHeight="1">
      <c r="A86" s="2" t="n">
        <v>85</v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</row>
    <row r="87" ht="24" customHeight="1">
      <c r="A87" s="2" t="n">
        <v>86</v>
      </c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</row>
    <row r="88" ht="24" customHeight="1">
      <c r="A88" s="2" t="n">
        <v>87</v>
      </c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</row>
    <row r="89" ht="24" customHeight="1">
      <c r="A89" s="2" t="n">
        <v>88</v>
      </c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</row>
    <row r="90" ht="24" customHeight="1">
      <c r="A90" s="2" t="n">
        <v>89</v>
      </c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</row>
    <row r="91" ht="24" customHeight="1">
      <c r="A91" s="2" t="n">
        <v>90</v>
      </c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</row>
    <row r="92" ht="24" customHeight="1">
      <c r="A92" s="2" t="n">
        <v>91</v>
      </c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</row>
    <row r="93" ht="24" customHeight="1">
      <c r="A93" s="2" t="n">
        <v>92</v>
      </c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</row>
    <row r="94" ht="24" customHeight="1">
      <c r="A94" s="2" t="n">
        <v>93</v>
      </c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</row>
    <row r="95" ht="24" customHeight="1">
      <c r="A95" s="2" t="n">
        <v>94</v>
      </c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</row>
    <row r="96" ht="24" customHeight="1">
      <c r="A96" s="2" t="n">
        <v>95</v>
      </c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</row>
    <row r="97" ht="24" customHeight="1">
      <c r="A97" s="2" t="n">
        <v>96</v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</row>
    <row r="98" ht="24" customHeight="1">
      <c r="A98" s="2" t="n">
        <v>97</v>
      </c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</row>
    <row r="99" ht="24" customHeight="1">
      <c r="A99" s="2" t="n">
        <v>98</v>
      </c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</row>
    <row r="100" ht="24" customHeight="1">
      <c r="A100" s="2" t="n">
        <v>99</v>
      </c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</row>
    <row r="101" ht="24" customHeight="1">
      <c r="A101" s="2" t="n">
        <v>100</v>
      </c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</row>
    <row r="102" ht="24" customHeight="1">
      <c r="A102" s="2" t="n">
        <v>101</v>
      </c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</row>
    <row r="103" ht="24" customHeight="1">
      <c r="A103" s="2" t="n">
        <v>102</v>
      </c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</row>
    <row r="104" ht="24" customHeight="1">
      <c r="A104" s="2" t="n">
        <v>103</v>
      </c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</row>
    <row r="105" ht="24" customHeight="1">
      <c r="A105" s="2" t="n">
        <v>104</v>
      </c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</row>
    <row r="106" ht="24" customHeight="1">
      <c r="A106" s="2" t="n">
        <v>105</v>
      </c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</row>
    <row r="107" ht="24" customHeight="1">
      <c r="A107" s="2" t="n">
        <v>106</v>
      </c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</row>
    <row r="108" ht="24" customHeight="1">
      <c r="A108" s="2" t="n">
        <v>107</v>
      </c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</row>
    <row r="109" ht="24" customHeight="1">
      <c r="A109" s="2" t="n">
        <v>108</v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</row>
    <row r="110" ht="24" customHeight="1">
      <c r="A110" s="2" t="n">
        <v>109</v>
      </c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</row>
    <row r="111" ht="24" customHeight="1">
      <c r="A111" s="2" t="n">
        <v>110</v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</row>
    <row r="112" ht="24" customHeight="1">
      <c r="A112" s="2" t="n">
        <v>111</v>
      </c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</row>
    <row r="113" ht="24" customHeight="1">
      <c r="A113" s="2" t="n">
        <v>112</v>
      </c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</row>
    <row r="114" ht="24" customHeight="1">
      <c r="A114" s="2" t="n">
        <v>113</v>
      </c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</row>
    <row r="115" ht="24" customHeight="1">
      <c r="A115" s="2" t="n">
        <v>114</v>
      </c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</row>
    <row r="116" ht="24" customHeight="1">
      <c r="A116" s="2" t="n">
        <v>115</v>
      </c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</row>
    <row r="117" ht="24" customHeight="1">
      <c r="A117" s="2" t="n">
        <v>116</v>
      </c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</row>
    <row r="118" ht="24" customHeight="1">
      <c r="A118" s="2" t="n">
        <v>117</v>
      </c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</row>
    <row r="119" ht="24" customHeight="1">
      <c r="A119" s="2" t="n">
        <v>118</v>
      </c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</row>
    <row r="120" ht="24" customHeight="1">
      <c r="A120" s="2" t="n">
        <v>119</v>
      </c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</row>
    <row r="121" ht="24" customHeight="1">
      <c r="A121" s="2" t="n">
        <v>120</v>
      </c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</row>
    <row r="122" ht="24" customHeight="1">
      <c r="A122" s="2" t="n">
        <v>121</v>
      </c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</row>
    <row r="123" ht="24" customHeight="1">
      <c r="A123" s="2" t="n">
        <v>122</v>
      </c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</row>
    <row r="124" ht="24" customHeight="1">
      <c r="A124" s="2" t="n">
        <v>123</v>
      </c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</row>
    <row r="125" ht="24" customHeight="1">
      <c r="A125" s="2" t="n">
        <v>124</v>
      </c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</row>
    <row r="126" ht="24" customHeight="1">
      <c r="A126" s="2" t="n">
        <v>125</v>
      </c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</row>
    <row r="127" ht="24" customHeight="1">
      <c r="A127" s="2" t="n">
        <v>126</v>
      </c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</row>
    <row r="128" ht="24" customHeight="1">
      <c r="A128" s="2" t="n">
        <v>127</v>
      </c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</row>
    <row r="129" ht="24" customHeight="1">
      <c r="A129" s="2" t="n">
        <v>128</v>
      </c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</row>
    <row r="130" ht="24" customHeight="1">
      <c r="A130" s="2" t="n">
        <v>129</v>
      </c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</row>
    <row r="131" ht="24" customHeight="1">
      <c r="A131" s="2" t="n">
        <v>130</v>
      </c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</row>
    <row r="132" ht="24" customHeight="1">
      <c r="A132" s="2" t="n">
        <v>131</v>
      </c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</row>
    <row r="133" ht="24" customHeight="1">
      <c r="A133" s="2" t="n">
        <v>132</v>
      </c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</row>
    <row r="134" ht="24" customHeight="1">
      <c r="A134" s="2" t="n">
        <v>133</v>
      </c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</row>
    <row r="135" ht="24" customHeight="1">
      <c r="A135" s="2" t="n">
        <v>134</v>
      </c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</row>
    <row r="136" ht="24" customHeight="1">
      <c r="A136" s="2" t="n">
        <v>135</v>
      </c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</row>
    <row r="137" ht="24" customHeight="1">
      <c r="A137" s="2" t="n">
        <v>136</v>
      </c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</row>
    <row r="138" ht="24" customHeight="1">
      <c r="A138" s="2" t="n">
        <v>137</v>
      </c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</row>
    <row r="139" ht="24" customHeight="1">
      <c r="A139" s="2" t="n">
        <v>138</v>
      </c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</row>
    <row r="140" ht="24" customHeight="1">
      <c r="A140" s="2" t="n">
        <v>139</v>
      </c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</row>
    <row r="141" ht="24" customHeight="1">
      <c r="A141" s="2" t="n">
        <v>140</v>
      </c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</row>
    <row r="142" ht="24" customHeight="1">
      <c r="A142" s="2" t="n">
        <v>141</v>
      </c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</row>
    <row r="143" ht="24" customHeight="1">
      <c r="A143" s="2" t="n">
        <v>142</v>
      </c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</row>
    <row r="144" ht="24" customHeight="1">
      <c r="A144" s="2" t="n">
        <v>143</v>
      </c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</row>
    <row r="145" ht="24" customHeight="1">
      <c r="A145" s="2" t="n">
        <v>144</v>
      </c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</row>
    <row r="146" ht="24" customHeight="1">
      <c r="A146" s="2" t="n">
        <v>145</v>
      </c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</row>
    <row r="147" ht="24" customHeight="1">
      <c r="A147" s="2" t="n">
        <v>146</v>
      </c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</row>
    <row r="148" ht="24" customHeight="1">
      <c r="A148" s="2" t="n">
        <v>147</v>
      </c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</row>
    <row r="149" ht="24" customHeight="1">
      <c r="A149" s="2" t="n">
        <v>148</v>
      </c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</row>
    <row r="150" ht="24" customHeight="1">
      <c r="A150" s="2" t="n">
        <v>149</v>
      </c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</row>
    <row r="151" ht="24" customHeight="1">
      <c r="A151" s="2" t="n">
        <v>150</v>
      </c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</row>
    <row r="152" ht="24" customHeight="1">
      <c r="A152" s="2" t="n">
        <v>151</v>
      </c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</row>
    <row r="153" ht="24" customHeight="1">
      <c r="A153" s="2" t="n">
        <v>152</v>
      </c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</row>
    <row r="154" ht="24" customHeight="1">
      <c r="A154" s="2" t="n">
        <v>153</v>
      </c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</row>
    <row r="155" ht="24" customHeight="1">
      <c r="A155" s="2" t="n">
        <v>154</v>
      </c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</row>
    <row r="156" ht="24" customHeight="1">
      <c r="A156" s="2" t="n">
        <v>155</v>
      </c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</row>
    <row r="157" ht="24" customHeight="1">
      <c r="A157" s="2" t="n">
        <v>156</v>
      </c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</row>
    <row r="158" ht="24" customHeight="1">
      <c r="A158" s="2" t="n">
        <v>157</v>
      </c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</row>
    <row r="159" ht="24" customHeight="1">
      <c r="A159" s="2" t="n">
        <v>158</v>
      </c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</row>
    <row r="160" ht="24" customHeight="1">
      <c r="A160" s="2" t="n">
        <v>159</v>
      </c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</row>
    <row r="161" ht="24" customHeight="1">
      <c r="A161" s="2" t="n">
        <v>160</v>
      </c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</row>
    <row r="162" ht="24" customHeight="1">
      <c r="A162" s="2" t="n">
        <v>161</v>
      </c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</row>
    <row r="163" ht="24" customHeight="1">
      <c r="A163" s="2" t="n">
        <v>162</v>
      </c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</row>
    <row r="164" ht="24" customHeight="1">
      <c r="A164" s="2" t="n">
        <v>163</v>
      </c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</row>
    <row r="165" ht="24" customHeight="1">
      <c r="A165" s="2" t="n">
        <v>164</v>
      </c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</row>
    <row r="166" ht="24" customHeight="1">
      <c r="A166" s="2" t="n">
        <v>165</v>
      </c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</row>
    <row r="167" ht="24" customHeight="1">
      <c r="A167" s="2" t="n">
        <v>166</v>
      </c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</row>
    <row r="168" ht="24" customHeight="1">
      <c r="A168" s="2" t="n">
        <v>167</v>
      </c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</row>
    <row r="169" ht="24" customHeight="1">
      <c r="A169" s="2" t="n">
        <v>168</v>
      </c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</row>
    <row r="170" ht="24" customHeight="1">
      <c r="A170" s="2" t="n">
        <v>169</v>
      </c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</row>
    <row r="171" ht="24" customHeight="1">
      <c r="A171" s="2" t="n">
        <v>170</v>
      </c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</row>
    <row r="172" ht="24" customHeight="1">
      <c r="A172" s="2" t="n">
        <v>171</v>
      </c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</row>
    <row r="173" ht="24" customHeight="1">
      <c r="A173" s="2" t="n">
        <v>172</v>
      </c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</row>
    <row r="174" ht="24" customHeight="1">
      <c r="A174" s="2" t="n">
        <v>173</v>
      </c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</row>
    <row r="175" ht="24" customHeight="1">
      <c r="A175" s="2" t="n">
        <v>174</v>
      </c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</row>
    <row r="176" ht="24" customHeight="1">
      <c r="A176" s="2" t="n">
        <v>175</v>
      </c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</row>
    <row r="177" ht="24" customHeight="1">
      <c r="A177" s="2" t="n">
        <v>176</v>
      </c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</row>
    <row r="178" ht="24" customHeight="1">
      <c r="A178" s="2" t="n">
        <v>177</v>
      </c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</row>
    <row r="179" ht="24" customHeight="1">
      <c r="A179" s="2" t="n">
        <v>178</v>
      </c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</row>
    <row r="180" ht="24" customHeight="1">
      <c r="A180" s="2" t="n">
        <v>179</v>
      </c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</row>
    <row r="181" ht="24" customHeight="1">
      <c r="A181" s="2" t="n">
        <v>180</v>
      </c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</row>
    <row r="182" ht="24" customHeight="1">
      <c r="A182" s="2" t="n">
        <v>181</v>
      </c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</row>
    <row r="183" ht="24" customHeight="1">
      <c r="A183" s="2" t="n">
        <v>182</v>
      </c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</row>
    <row r="184" ht="24" customHeight="1">
      <c r="A184" s="2" t="n">
        <v>183</v>
      </c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</row>
    <row r="185" ht="24" customHeight="1">
      <c r="A185" s="2" t="n">
        <v>184</v>
      </c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</row>
    <row r="186" ht="24" customHeight="1">
      <c r="A186" s="2" t="n">
        <v>185</v>
      </c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</row>
    <row r="187" ht="24" customHeight="1">
      <c r="A187" s="2" t="n">
        <v>186</v>
      </c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</row>
    <row r="188" ht="24" customHeight="1">
      <c r="A188" s="2" t="n">
        <v>187</v>
      </c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</row>
    <row r="189" ht="24" customHeight="1">
      <c r="A189" s="2" t="n">
        <v>188</v>
      </c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</row>
    <row r="190" ht="24" customHeight="1">
      <c r="A190" s="2" t="n">
        <v>189</v>
      </c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</row>
    <row r="191" ht="24" customHeight="1">
      <c r="A191" s="2" t="n">
        <v>190</v>
      </c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</row>
    <row r="192" ht="24" customHeight="1">
      <c r="A192" s="2" t="n">
        <v>191</v>
      </c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</row>
    <row r="193" ht="24" customHeight="1">
      <c r="A193" s="2" t="n">
        <v>192</v>
      </c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</row>
    <row r="194" ht="24" customHeight="1">
      <c r="A194" s="2" t="n">
        <v>193</v>
      </c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</row>
    <row r="195" ht="24" customHeight="1">
      <c r="A195" s="2" t="n">
        <v>194</v>
      </c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</row>
    <row r="196" ht="24" customHeight="1">
      <c r="A196" s="2" t="n">
        <v>195</v>
      </c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</row>
    <row r="197" ht="24" customHeight="1">
      <c r="A197" s="2" t="n">
        <v>196</v>
      </c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</row>
    <row r="198" ht="24" customHeight="1">
      <c r="A198" s="2" t="n">
        <v>197</v>
      </c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</row>
    <row r="199" ht="24" customHeight="1">
      <c r="A199" s="2" t="n">
        <v>198</v>
      </c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</row>
    <row r="200" ht="24" customHeight="1">
      <c r="A200" s="2" t="n">
        <v>199</v>
      </c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</row>
    <row r="201" ht="24" customHeight="1">
      <c r="A201" s="2" t="n">
        <v>200</v>
      </c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</row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</sheetData>
  <conditionalFormatting sqref="N2:N201">
    <cfRule type="colorScale" priority="1">
      <colorScale>
        <cfvo type="num" val="1"/>
        <cfvo type="num" val="3"/>
        <cfvo type="num" val="5"/>
        <color rgb="00F4CCCC"/>
        <color rgb="00FFF2CC"/>
        <color rgb="00D9EAD3"/>
      </colorScale>
    </cfRule>
  </conditionalFormatting>
  <conditionalFormatting sqref="K2:K201">
    <cfRule type="cellIs" priority="2" operator="equal" dxfId="0">
      <formula>"NR - Sin respuesta"</formula>
    </cfRule>
  </conditionalFormatting>
  <dataValidations count="6">
    <dataValidation sqref="F2:F201" showDropDown="0" showInputMessage="0" showErrorMessage="0" allowBlank="1" type="list">
      <formula1>=Catalogos!$C$2:$C$11</formula1>
    </dataValidation>
    <dataValidation sqref="G2:G201" showDropDown="0" showInputMessage="0" showErrorMessage="0" allowBlank="1" type="list">
      <formula1>=Catalogos!$D$2:$D$6</formula1>
    </dataValidation>
    <dataValidation sqref="J2:J201" showDropDown="0" showInputMessage="0" showErrorMessage="0" allowBlank="1" type="list">
      <formula1>=Catalogos!$B$2:$B$6</formula1>
    </dataValidation>
    <dataValidation sqref="K2:K201" showDropDown="0" showInputMessage="0" showErrorMessage="0" allowBlank="1" type="list">
      <formula1>=Catalogos!$A$2:$A$11</formula1>
    </dataValidation>
    <dataValidation sqref="N2:N201" showDropDown="0" showInputMessage="0" showErrorMessage="0" allowBlank="1" type="list">
      <formula1>=Catalogos!$E$2:$E$6</formula1>
    </dataValidation>
    <dataValidation sqref="U2:U201" showDropDown="0" showInputMessage="0" showErrorMessage="0" allowBlank="1" type="list">
      <formula1>=Catalogos!$F$2:$F$3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22" customWidth="1" min="4" max="4"/>
    <col width="18" customWidth="1" min="5" max="5"/>
    <col width="20" customWidth="1" min="6" max="6"/>
    <col width="22" customWidth="1" min="7" max="7"/>
    <col width="12" customWidth="1" min="8" max="8"/>
    <col width="14" customWidth="1" min="9" max="9"/>
    <col width="36" customWidth="1" min="10" max="10"/>
    <col width="36" customWidth="1" min="11" max="11"/>
    <col width="22" customWidth="1" min="12" max="12"/>
    <col width="28" customWidth="1" min="13" max="13"/>
    <col width="18" customWidth="1" min="14" max="14"/>
    <col width="36" customWidth="1" min="15" max="15"/>
    <col width="15" customWidth="1" min="16" max="16"/>
  </cols>
  <sheetData>
    <row r="1" ht="24" customHeight="1">
      <c r="A1" s="5" t="inlineStr">
        <is>
          <t>Fecha</t>
        </is>
      </c>
      <c r="B1" s="5" t="inlineStr">
        <is>
          <t>Usuario ID</t>
        </is>
      </c>
      <c r="C1" s="5" t="inlineStr">
        <is>
          <t>Nombre usuario</t>
        </is>
      </c>
      <c r="D1" s="5" t="inlineStr">
        <is>
          <t>Área</t>
        </is>
      </c>
      <c r="E1" s="5" t="inlineStr">
        <is>
          <t>Medio</t>
        </is>
      </c>
      <c r="F1" s="5" t="inlineStr">
        <is>
          <t>Tipo interacción</t>
        </is>
      </c>
      <c r="G1" s="5" t="inlineStr">
        <is>
          <t>Estado resultado</t>
        </is>
      </c>
      <c r="H1" s="5" t="inlineStr">
        <is>
          <t>Minutos</t>
        </is>
      </c>
      <c r="I1" s="5" t="inlineStr">
        <is>
          <t>Calificación</t>
        </is>
      </c>
      <c r="J1" s="5" t="inlineStr">
        <is>
          <t>Observación clave</t>
        </is>
      </c>
      <c r="K1" s="5" t="inlineStr">
        <is>
          <t>Solicitud recibida</t>
        </is>
      </c>
      <c r="L1" s="5" t="inlineStr">
        <is>
          <t>Escalado a</t>
        </is>
      </c>
      <c r="M1" s="5" t="inlineStr">
        <is>
          <t>Próxima acción</t>
        </is>
      </c>
      <c r="N1" s="5" t="inlineStr">
        <is>
          <t>Fecha próxima acción</t>
        </is>
      </c>
      <c r="O1" s="5" t="inlineStr">
        <is>
          <t>Caso de uso</t>
        </is>
      </c>
      <c r="P1" s="5" t="inlineStr">
        <is>
          <t>Gemelo estable</t>
        </is>
      </c>
    </row>
    <row r="2" ht="24" customHeight="1">
      <c r="A2" s="2" t="n"/>
      <c r="B2" s="2" t="n"/>
      <c r="C2" s="2">
        <f>IFERROR(VLOOKUP(B2,Usuarios!$A:$V,2,FALSE)&amp;" "&amp;VLOOKUP(B2,Usuarios!$A:$V,3,FALSE),"")</f>
        <v/>
      </c>
      <c r="D2" s="2">
        <f>IFERROR(VLOOKUP(B2,Usuarios!$A:$V,6,FALSE),"")</f>
        <v/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24" customHeight="1">
      <c r="A3" s="2" t="n"/>
      <c r="B3" s="2" t="n"/>
      <c r="C3" s="2">
        <f>IFERROR(VLOOKUP(B3,Usuarios!$A:$V,2,FALSE)&amp;" "&amp;VLOOKUP(B3,Usuarios!$A:$V,3,FALSE),"")</f>
        <v/>
      </c>
      <c r="D3" s="2">
        <f>IFERROR(VLOOKUP(B3,Usuarios!$A:$V,6,FALSE),"")</f>
        <v/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>
        <f>IFERROR(VLOOKUP(B4,Usuarios!$A:$V,2,FALSE)&amp;" "&amp;VLOOKUP(B4,Usuarios!$A:$V,3,FALSE),"")</f>
        <v/>
      </c>
      <c r="D4" s="2">
        <f>IFERROR(VLOOKUP(B4,Usuarios!$A:$V,6,FALSE),"")</f>
        <v/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4" customHeight="1">
      <c r="A5" s="2" t="n"/>
      <c r="B5" s="2" t="n"/>
      <c r="C5" s="2">
        <f>IFERROR(VLOOKUP(B5,Usuarios!$A:$V,2,FALSE)&amp;" "&amp;VLOOKUP(B5,Usuarios!$A:$V,3,FALSE),"")</f>
        <v/>
      </c>
      <c r="D5" s="2">
        <f>IFERROR(VLOOKUP(B5,Usuarios!$A:$V,6,FALSE),"")</f>
        <v/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 ht="24" customHeight="1">
      <c r="A6" s="2" t="n"/>
      <c r="B6" s="2" t="n"/>
      <c r="C6" s="2">
        <f>IFERROR(VLOOKUP(B6,Usuarios!$A:$V,2,FALSE)&amp;" "&amp;VLOOKUP(B6,Usuarios!$A:$V,3,FALSE),"")</f>
        <v/>
      </c>
      <c r="D6" s="2">
        <f>IFERROR(VLOOKUP(B6,Usuarios!$A:$V,6,FALSE),"")</f>
        <v/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 ht="24" customHeight="1">
      <c r="A7" s="2" t="n"/>
      <c r="B7" s="2" t="n"/>
      <c r="C7" s="2">
        <f>IFERROR(VLOOKUP(B7,Usuarios!$A:$V,2,FALSE)&amp;" "&amp;VLOOKUP(B7,Usuarios!$A:$V,3,FALSE),"")</f>
        <v/>
      </c>
      <c r="D7" s="2">
        <f>IFERROR(VLOOKUP(B7,Usuarios!$A:$V,6,FALSE),"")</f>
        <v/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 ht="24" customHeight="1">
      <c r="A8" s="2" t="n"/>
      <c r="B8" s="2" t="n"/>
      <c r="C8" s="2">
        <f>IFERROR(VLOOKUP(B8,Usuarios!$A:$V,2,FALSE)&amp;" "&amp;VLOOKUP(B8,Usuarios!$A:$V,3,FALSE),"")</f>
        <v/>
      </c>
      <c r="D8" s="2">
        <f>IFERROR(VLOOKUP(B8,Usuarios!$A:$V,6,FALSE),"")</f>
        <v/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4" customHeight="1">
      <c r="A9" s="2" t="n"/>
      <c r="B9" s="2" t="n"/>
      <c r="C9" s="2">
        <f>IFERROR(VLOOKUP(B9,Usuarios!$A:$V,2,FALSE)&amp;" "&amp;VLOOKUP(B9,Usuarios!$A:$V,3,FALSE),"")</f>
        <v/>
      </c>
      <c r="D9" s="2">
        <f>IFERROR(VLOOKUP(B9,Usuarios!$A:$V,6,FALSE),"")</f>
        <v/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 ht="24" customHeight="1">
      <c r="A10" s="2" t="n"/>
      <c r="B10" s="2" t="n"/>
      <c r="C10" s="2">
        <f>IFERROR(VLOOKUP(B10,Usuarios!$A:$V,2,FALSE)&amp;" "&amp;VLOOKUP(B10,Usuarios!$A:$V,3,FALSE),"")</f>
        <v/>
      </c>
      <c r="D10" s="2">
        <f>IFERROR(VLOOKUP(B10,Usuarios!$A:$V,6,FALSE),"")</f>
        <v/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 ht="24" customHeight="1">
      <c r="A11" s="2" t="n"/>
      <c r="B11" s="2" t="n"/>
      <c r="C11" s="2">
        <f>IFERROR(VLOOKUP(B11,Usuarios!$A:$V,2,FALSE)&amp;" "&amp;VLOOKUP(B11,Usuarios!$A:$V,3,FALSE),"")</f>
        <v/>
      </c>
      <c r="D11" s="2">
        <f>IFERROR(VLOOKUP(B11,Usuarios!$A:$V,6,FALSE),"")</f>
        <v/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24" customHeight="1">
      <c r="A12" s="2" t="n"/>
      <c r="B12" s="2" t="n"/>
      <c r="C12" s="2">
        <f>IFERROR(VLOOKUP(B12,Usuarios!$A:$V,2,FALSE)&amp;" "&amp;VLOOKUP(B12,Usuarios!$A:$V,3,FALSE),"")</f>
        <v/>
      </c>
      <c r="D12" s="2">
        <f>IFERROR(VLOOKUP(B12,Usuarios!$A:$V,6,FALSE),"")</f>
        <v/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 ht="24" customHeight="1">
      <c r="A13" s="2" t="n"/>
      <c r="B13" s="2" t="n"/>
      <c r="C13" s="2">
        <f>IFERROR(VLOOKUP(B13,Usuarios!$A:$V,2,FALSE)&amp;" "&amp;VLOOKUP(B13,Usuarios!$A:$V,3,FALSE),"")</f>
        <v/>
      </c>
      <c r="D13" s="2">
        <f>IFERROR(VLOOKUP(B13,Usuarios!$A:$V,6,FALSE),"")</f>
        <v/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 ht="24" customHeight="1">
      <c r="A14" s="2" t="n"/>
      <c r="B14" s="2" t="n"/>
      <c r="C14" s="2">
        <f>IFERROR(VLOOKUP(B14,Usuarios!$A:$V,2,FALSE)&amp;" "&amp;VLOOKUP(B14,Usuarios!$A:$V,3,FALSE),"")</f>
        <v/>
      </c>
      <c r="D14" s="2">
        <f>IFERROR(VLOOKUP(B14,Usuarios!$A:$V,6,FALSE),"")</f>
        <v/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 ht="24" customHeight="1">
      <c r="A15" s="2" t="n"/>
      <c r="B15" s="2" t="n"/>
      <c r="C15" s="2">
        <f>IFERROR(VLOOKUP(B15,Usuarios!$A:$V,2,FALSE)&amp;" "&amp;VLOOKUP(B15,Usuarios!$A:$V,3,FALSE),"")</f>
        <v/>
      </c>
      <c r="D15" s="2">
        <f>IFERROR(VLOOKUP(B15,Usuarios!$A:$V,6,FALSE),"")</f>
        <v/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 ht="24" customHeight="1">
      <c r="A16" s="2" t="n"/>
      <c r="B16" s="2" t="n"/>
      <c r="C16" s="2">
        <f>IFERROR(VLOOKUP(B16,Usuarios!$A:$V,2,FALSE)&amp;" "&amp;VLOOKUP(B16,Usuarios!$A:$V,3,FALSE),"")</f>
        <v/>
      </c>
      <c r="D16" s="2">
        <f>IFERROR(VLOOKUP(B16,Usuarios!$A:$V,6,FALSE),"")</f>
        <v/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 ht="24" customHeight="1">
      <c r="A17" s="2" t="n"/>
      <c r="B17" s="2" t="n"/>
      <c r="C17" s="2">
        <f>IFERROR(VLOOKUP(B17,Usuarios!$A:$V,2,FALSE)&amp;" "&amp;VLOOKUP(B17,Usuarios!$A:$V,3,FALSE),"")</f>
        <v/>
      </c>
      <c r="D17" s="2">
        <f>IFERROR(VLOOKUP(B17,Usuarios!$A:$V,6,FALSE),"")</f>
        <v/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 ht="24" customHeight="1">
      <c r="A18" s="2" t="n"/>
      <c r="B18" s="2" t="n"/>
      <c r="C18" s="2">
        <f>IFERROR(VLOOKUP(B18,Usuarios!$A:$V,2,FALSE)&amp;" "&amp;VLOOKUP(B18,Usuarios!$A:$V,3,FALSE),"")</f>
        <v/>
      </c>
      <c r="D18" s="2">
        <f>IFERROR(VLOOKUP(B18,Usuarios!$A:$V,6,FALSE),"")</f>
        <v/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 ht="24" customHeight="1">
      <c r="A19" s="2" t="n"/>
      <c r="B19" s="2" t="n"/>
      <c r="C19" s="2">
        <f>IFERROR(VLOOKUP(B19,Usuarios!$A:$V,2,FALSE)&amp;" "&amp;VLOOKUP(B19,Usuarios!$A:$V,3,FALSE),"")</f>
        <v/>
      </c>
      <c r="D19" s="2">
        <f>IFERROR(VLOOKUP(B19,Usuarios!$A:$V,6,FALSE),"")</f>
        <v/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 ht="24" customHeight="1">
      <c r="A20" s="2" t="n"/>
      <c r="B20" s="2" t="n"/>
      <c r="C20" s="2">
        <f>IFERROR(VLOOKUP(B20,Usuarios!$A:$V,2,FALSE)&amp;" "&amp;VLOOKUP(B20,Usuarios!$A:$V,3,FALSE),"")</f>
        <v/>
      </c>
      <c r="D20" s="2">
        <f>IFERROR(VLOOKUP(B20,Usuarios!$A:$V,6,FALSE),"")</f>
        <v/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 ht="24" customHeight="1">
      <c r="A21" s="2" t="n"/>
      <c r="B21" s="2" t="n"/>
      <c r="C21" s="2">
        <f>IFERROR(VLOOKUP(B21,Usuarios!$A:$V,2,FALSE)&amp;" "&amp;VLOOKUP(B21,Usuarios!$A:$V,3,FALSE),"")</f>
        <v/>
      </c>
      <c r="D21" s="2">
        <f>IFERROR(VLOOKUP(B21,Usuarios!$A:$V,6,FALSE),"")</f>
        <v/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 ht="24" customHeight="1">
      <c r="A22" s="2" t="n"/>
      <c r="B22" s="2" t="n"/>
      <c r="C22" s="2">
        <f>IFERROR(VLOOKUP(B22,Usuarios!$A:$V,2,FALSE)&amp;" "&amp;VLOOKUP(B22,Usuarios!$A:$V,3,FALSE),"")</f>
        <v/>
      </c>
      <c r="D22" s="2">
        <f>IFERROR(VLOOKUP(B22,Usuarios!$A:$V,6,FALSE),"")</f>
        <v/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 ht="24" customHeight="1">
      <c r="A23" s="2" t="n"/>
      <c r="B23" s="2" t="n"/>
      <c r="C23" s="2">
        <f>IFERROR(VLOOKUP(B23,Usuarios!$A:$V,2,FALSE)&amp;" "&amp;VLOOKUP(B23,Usuarios!$A:$V,3,FALSE),"")</f>
        <v/>
      </c>
      <c r="D23" s="2">
        <f>IFERROR(VLOOKUP(B23,Usuarios!$A:$V,6,FALSE),"")</f>
        <v/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 ht="24" customHeight="1">
      <c r="A24" s="2" t="n"/>
      <c r="B24" s="2" t="n"/>
      <c r="C24" s="2">
        <f>IFERROR(VLOOKUP(B24,Usuarios!$A:$V,2,FALSE)&amp;" "&amp;VLOOKUP(B24,Usuarios!$A:$V,3,FALSE),"")</f>
        <v/>
      </c>
      <c r="D24" s="2">
        <f>IFERROR(VLOOKUP(B24,Usuarios!$A:$V,6,FALSE),"")</f>
        <v/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 ht="24" customHeight="1">
      <c r="A25" s="2" t="n"/>
      <c r="B25" s="2" t="n"/>
      <c r="C25" s="2">
        <f>IFERROR(VLOOKUP(B25,Usuarios!$A:$V,2,FALSE)&amp;" "&amp;VLOOKUP(B25,Usuarios!$A:$V,3,FALSE),"")</f>
        <v/>
      </c>
      <c r="D25" s="2">
        <f>IFERROR(VLOOKUP(B25,Usuarios!$A:$V,6,FALSE),"")</f>
        <v/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 ht="24" customHeight="1">
      <c r="A26" s="2" t="n"/>
      <c r="B26" s="2" t="n"/>
      <c r="C26" s="2">
        <f>IFERROR(VLOOKUP(B26,Usuarios!$A:$V,2,FALSE)&amp;" "&amp;VLOOKUP(B26,Usuarios!$A:$V,3,FALSE),"")</f>
        <v/>
      </c>
      <c r="D26" s="2">
        <f>IFERROR(VLOOKUP(B26,Usuarios!$A:$V,6,FALSE),"")</f>
        <v/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 ht="24" customHeight="1">
      <c r="A27" s="2" t="n"/>
      <c r="B27" s="2" t="n"/>
      <c r="C27" s="2">
        <f>IFERROR(VLOOKUP(B27,Usuarios!$A:$V,2,FALSE)&amp;" "&amp;VLOOKUP(B27,Usuarios!$A:$V,3,FALSE),"")</f>
        <v/>
      </c>
      <c r="D27" s="2">
        <f>IFERROR(VLOOKUP(B27,Usuarios!$A:$V,6,FALSE),"")</f>
        <v/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 ht="24" customHeight="1">
      <c r="A28" s="2" t="n"/>
      <c r="B28" s="2" t="n"/>
      <c r="C28" s="2">
        <f>IFERROR(VLOOKUP(B28,Usuarios!$A:$V,2,FALSE)&amp;" "&amp;VLOOKUP(B28,Usuarios!$A:$V,3,FALSE),"")</f>
        <v/>
      </c>
      <c r="D28" s="2">
        <f>IFERROR(VLOOKUP(B28,Usuarios!$A:$V,6,FALSE),"")</f>
        <v/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 ht="24" customHeight="1">
      <c r="A29" s="2" t="n"/>
      <c r="B29" s="2" t="n"/>
      <c r="C29" s="2">
        <f>IFERROR(VLOOKUP(B29,Usuarios!$A:$V,2,FALSE)&amp;" "&amp;VLOOKUP(B29,Usuarios!$A:$V,3,FALSE),"")</f>
        <v/>
      </c>
      <c r="D29" s="2">
        <f>IFERROR(VLOOKUP(B29,Usuarios!$A:$V,6,FALSE),"")</f>
        <v/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 ht="24" customHeight="1">
      <c r="A30" s="2" t="n"/>
      <c r="B30" s="2" t="n"/>
      <c r="C30" s="2">
        <f>IFERROR(VLOOKUP(B30,Usuarios!$A:$V,2,FALSE)&amp;" "&amp;VLOOKUP(B30,Usuarios!$A:$V,3,FALSE),"")</f>
        <v/>
      </c>
      <c r="D30" s="2">
        <f>IFERROR(VLOOKUP(B30,Usuarios!$A:$V,6,FALSE),"")</f>
        <v/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 ht="24" customHeight="1">
      <c r="A31" s="2" t="n"/>
      <c r="B31" s="2" t="n"/>
      <c r="C31" s="2">
        <f>IFERROR(VLOOKUP(B31,Usuarios!$A:$V,2,FALSE)&amp;" "&amp;VLOOKUP(B31,Usuarios!$A:$V,3,FALSE),"")</f>
        <v/>
      </c>
      <c r="D31" s="2">
        <f>IFERROR(VLOOKUP(B31,Usuarios!$A:$V,6,FALSE),"")</f>
        <v/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 ht="24" customHeight="1">
      <c r="A32" s="2" t="n"/>
      <c r="B32" s="2" t="n"/>
      <c r="C32" s="2">
        <f>IFERROR(VLOOKUP(B32,Usuarios!$A:$V,2,FALSE)&amp;" "&amp;VLOOKUP(B32,Usuarios!$A:$V,3,FALSE),"")</f>
        <v/>
      </c>
      <c r="D32" s="2">
        <f>IFERROR(VLOOKUP(B32,Usuarios!$A:$V,6,FALSE),"")</f>
        <v/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 ht="24" customHeight="1">
      <c r="A33" s="2" t="n"/>
      <c r="B33" s="2" t="n"/>
      <c r="C33" s="2">
        <f>IFERROR(VLOOKUP(B33,Usuarios!$A:$V,2,FALSE)&amp;" "&amp;VLOOKUP(B33,Usuarios!$A:$V,3,FALSE),"")</f>
        <v/>
      </c>
      <c r="D33" s="2">
        <f>IFERROR(VLOOKUP(B33,Usuarios!$A:$V,6,FALSE),"")</f>
        <v/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 ht="24" customHeight="1">
      <c r="A34" s="2" t="n"/>
      <c r="B34" s="2" t="n"/>
      <c r="C34" s="2">
        <f>IFERROR(VLOOKUP(B34,Usuarios!$A:$V,2,FALSE)&amp;" "&amp;VLOOKUP(B34,Usuarios!$A:$V,3,FALSE),"")</f>
        <v/>
      </c>
      <c r="D34" s="2">
        <f>IFERROR(VLOOKUP(B34,Usuarios!$A:$V,6,FALSE),"")</f>
        <v/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 ht="24" customHeight="1">
      <c r="A35" s="2" t="n"/>
      <c r="B35" s="2" t="n"/>
      <c r="C35" s="2">
        <f>IFERROR(VLOOKUP(B35,Usuarios!$A:$V,2,FALSE)&amp;" "&amp;VLOOKUP(B35,Usuarios!$A:$V,3,FALSE),"")</f>
        <v/>
      </c>
      <c r="D35" s="2">
        <f>IFERROR(VLOOKUP(B35,Usuarios!$A:$V,6,FALSE),"")</f>
        <v/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 ht="24" customHeight="1">
      <c r="A36" s="2" t="n"/>
      <c r="B36" s="2" t="n"/>
      <c r="C36" s="2">
        <f>IFERROR(VLOOKUP(B36,Usuarios!$A:$V,2,FALSE)&amp;" "&amp;VLOOKUP(B36,Usuarios!$A:$V,3,FALSE),"")</f>
        <v/>
      </c>
      <c r="D36" s="2">
        <f>IFERROR(VLOOKUP(B36,Usuarios!$A:$V,6,FALSE),"")</f>
        <v/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 ht="24" customHeight="1">
      <c r="A37" s="2" t="n"/>
      <c r="B37" s="2" t="n"/>
      <c r="C37" s="2">
        <f>IFERROR(VLOOKUP(B37,Usuarios!$A:$V,2,FALSE)&amp;" "&amp;VLOOKUP(B37,Usuarios!$A:$V,3,FALSE),"")</f>
        <v/>
      </c>
      <c r="D37" s="2">
        <f>IFERROR(VLOOKUP(B37,Usuarios!$A:$V,6,FALSE),"")</f>
        <v/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 ht="24" customHeight="1">
      <c r="A38" s="2" t="n"/>
      <c r="B38" s="2" t="n"/>
      <c r="C38" s="2">
        <f>IFERROR(VLOOKUP(B38,Usuarios!$A:$V,2,FALSE)&amp;" "&amp;VLOOKUP(B38,Usuarios!$A:$V,3,FALSE),"")</f>
        <v/>
      </c>
      <c r="D38" s="2">
        <f>IFERROR(VLOOKUP(B38,Usuarios!$A:$V,6,FALSE),"")</f>
        <v/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 ht="24" customHeight="1">
      <c r="A39" s="2" t="n"/>
      <c r="B39" s="2" t="n"/>
      <c r="C39" s="2">
        <f>IFERROR(VLOOKUP(B39,Usuarios!$A:$V,2,FALSE)&amp;" "&amp;VLOOKUP(B39,Usuarios!$A:$V,3,FALSE),"")</f>
        <v/>
      </c>
      <c r="D39" s="2">
        <f>IFERROR(VLOOKUP(B39,Usuarios!$A:$V,6,FALSE),"")</f>
        <v/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 ht="24" customHeight="1">
      <c r="A40" s="2" t="n"/>
      <c r="B40" s="2" t="n"/>
      <c r="C40" s="2">
        <f>IFERROR(VLOOKUP(B40,Usuarios!$A:$V,2,FALSE)&amp;" "&amp;VLOOKUP(B40,Usuarios!$A:$V,3,FALSE),"")</f>
        <v/>
      </c>
      <c r="D40" s="2">
        <f>IFERROR(VLOOKUP(B40,Usuarios!$A:$V,6,FALSE),"")</f>
        <v/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 ht="24" customHeight="1">
      <c r="A41" s="2" t="n"/>
      <c r="B41" s="2" t="n"/>
      <c r="C41" s="2">
        <f>IFERROR(VLOOKUP(B41,Usuarios!$A:$V,2,FALSE)&amp;" "&amp;VLOOKUP(B41,Usuarios!$A:$V,3,FALSE),"")</f>
        <v/>
      </c>
      <c r="D41" s="2">
        <f>IFERROR(VLOOKUP(B41,Usuarios!$A:$V,6,FALSE),"")</f>
        <v/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 ht="24" customHeight="1">
      <c r="A42" s="2" t="n"/>
      <c r="B42" s="2" t="n"/>
      <c r="C42" s="2">
        <f>IFERROR(VLOOKUP(B42,Usuarios!$A:$V,2,FALSE)&amp;" "&amp;VLOOKUP(B42,Usuarios!$A:$V,3,FALSE),"")</f>
        <v/>
      </c>
      <c r="D42" s="2">
        <f>IFERROR(VLOOKUP(B42,Usuarios!$A:$V,6,FALSE),"")</f>
        <v/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 ht="24" customHeight="1">
      <c r="A43" s="2" t="n"/>
      <c r="B43" s="2" t="n"/>
      <c r="C43" s="2">
        <f>IFERROR(VLOOKUP(B43,Usuarios!$A:$V,2,FALSE)&amp;" "&amp;VLOOKUP(B43,Usuarios!$A:$V,3,FALSE),"")</f>
        <v/>
      </c>
      <c r="D43" s="2">
        <f>IFERROR(VLOOKUP(B43,Usuarios!$A:$V,6,FALSE),"")</f>
        <v/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 ht="24" customHeight="1">
      <c r="A44" s="2" t="n"/>
      <c r="B44" s="2" t="n"/>
      <c r="C44" s="2">
        <f>IFERROR(VLOOKUP(B44,Usuarios!$A:$V,2,FALSE)&amp;" "&amp;VLOOKUP(B44,Usuarios!$A:$V,3,FALSE),"")</f>
        <v/>
      </c>
      <c r="D44" s="2">
        <f>IFERROR(VLOOKUP(B44,Usuarios!$A:$V,6,FALSE),"")</f>
        <v/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 ht="24" customHeight="1">
      <c r="A45" s="2" t="n"/>
      <c r="B45" s="2" t="n"/>
      <c r="C45" s="2">
        <f>IFERROR(VLOOKUP(B45,Usuarios!$A:$V,2,FALSE)&amp;" "&amp;VLOOKUP(B45,Usuarios!$A:$V,3,FALSE),"")</f>
        <v/>
      </c>
      <c r="D45" s="2">
        <f>IFERROR(VLOOKUP(B45,Usuarios!$A:$V,6,FALSE),"")</f>
        <v/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 ht="24" customHeight="1">
      <c r="A46" s="2" t="n"/>
      <c r="B46" s="2" t="n"/>
      <c r="C46" s="2">
        <f>IFERROR(VLOOKUP(B46,Usuarios!$A:$V,2,FALSE)&amp;" "&amp;VLOOKUP(B46,Usuarios!$A:$V,3,FALSE),"")</f>
        <v/>
      </c>
      <c r="D46" s="2">
        <f>IFERROR(VLOOKUP(B46,Usuarios!$A:$V,6,FALSE),"")</f>
        <v/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 ht="24" customHeight="1">
      <c r="A47" s="2" t="n"/>
      <c r="B47" s="2" t="n"/>
      <c r="C47" s="2">
        <f>IFERROR(VLOOKUP(B47,Usuarios!$A:$V,2,FALSE)&amp;" "&amp;VLOOKUP(B47,Usuarios!$A:$V,3,FALSE),"")</f>
        <v/>
      </c>
      <c r="D47" s="2">
        <f>IFERROR(VLOOKUP(B47,Usuarios!$A:$V,6,FALSE),"")</f>
        <v/>
      </c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 ht="24" customHeight="1">
      <c r="A48" s="2" t="n"/>
      <c r="B48" s="2" t="n"/>
      <c r="C48" s="2">
        <f>IFERROR(VLOOKUP(B48,Usuarios!$A:$V,2,FALSE)&amp;" "&amp;VLOOKUP(B48,Usuarios!$A:$V,3,FALSE),"")</f>
        <v/>
      </c>
      <c r="D48" s="2">
        <f>IFERROR(VLOOKUP(B48,Usuarios!$A:$V,6,FALSE),"")</f>
        <v/>
      </c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 ht="24" customHeight="1">
      <c r="A49" s="2" t="n"/>
      <c r="B49" s="2" t="n"/>
      <c r="C49" s="2">
        <f>IFERROR(VLOOKUP(B49,Usuarios!$A:$V,2,FALSE)&amp;" "&amp;VLOOKUP(B49,Usuarios!$A:$V,3,FALSE),"")</f>
        <v/>
      </c>
      <c r="D49" s="2">
        <f>IFERROR(VLOOKUP(B49,Usuarios!$A:$V,6,FALSE),"")</f>
        <v/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 ht="24" customHeight="1">
      <c r="A50" s="2" t="n"/>
      <c r="B50" s="2" t="n"/>
      <c r="C50" s="2">
        <f>IFERROR(VLOOKUP(B50,Usuarios!$A:$V,2,FALSE)&amp;" "&amp;VLOOKUP(B50,Usuarios!$A:$V,3,FALSE),"")</f>
        <v/>
      </c>
      <c r="D50" s="2">
        <f>IFERROR(VLOOKUP(B50,Usuarios!$A:$V,6,FALSE),"")</f>
        <v/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 ht="24" customHeight="1">
      <c r="A51" s="2" t="n"/>
      <c r="B51" s="2" t="n"/>
      <c r="C51" s="2">
        <f>IFERROR(VLOOKUP(B51,Usuarios!$A:$V,2,FALSE)&amp;" "&amp;VLOOKUP(B51,Usuarios!$A:$V,3,FALSE),"")</f>
        <v/>
      </c>
      <c r="D51" s="2">
        <f>IFERROR(VLOOKUP(B51,Usuarios!$A:$V,6,FALSE),"")</f>
        <v/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 ht="24" customHeight="1">
      <c r="A52" s="2" t="n"/>
      <c r="B52" s="2" t="n"/>
      <c r="C52" s="2">
        <f>IFERROR(VLOOKUP(B52,Usuarios!$A:$V,2,FALSE)&amp;" "&amp;VLOOKUP(B52,Usuarios!$A:$V,3,FALSE),"")</f>
        <v/>
      </c>
      <c r="D52" s="2">
        <f>IFERROR(VLOOKUP(B52,Usuarios!$A:$V,6,FALSE),"")</f>
        <v/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 ht="24" customHeight="1">
      <c r="A53" s="2" t="n"/>
      <c r="B53" s="2" t="n"/>
      <c r="C53" s="2">
        <f>IFERROR(VLOOKUP(B53,Usuarios!$A:$V,2,FALSE)&amp;" "&amp;VLOOKUP(B53,Usuarios!$A:$V,3,FALSE),"")</f>
        <v/>
      </c>
      <c r="D53" s="2">
        <f>IFERROR(VLOOKUP(B53,Usuarios!$A:$V,6,FALSE),"")</f>
        <v/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 ht="24" customHeight="1">
      <c r="A54" s="2" t="n"/>
      <c r="B54" s="2" t="n"/>
      <c r="C54" s="2">
        <f>IFERROR(VLOOKUP(B54,Usuarios!$A:$V,2,FALSE)&amp;" "&amp;VLOOKUP(B54,Usuarios!$A:$V,3,FALSE),"")</f>
        <v/>
      </c>
      <c r="D54" s="2">
        <f>IFERROR(VLOOKUP(B54,Usuarios!$A:$V,6,FALSE),"")</f>
        <v/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 ht="24" customHeight="1">
      <c r="A55" s="2" t="n"/>
      <c r="B55" s="2" t="n"/>
      <c r="C55" s="2">
        <f>IFERROR(VLOOKUP(B55,Usuarios!$A:$V,2,FALSE)&amp;" "&amp;VLOOKUP(B55,Usuarios!$A:$V,3,FALSE),"")</f>
        <v/>
      </c>
      <c r="D55" s="2">
        <f>IFERROR(VLOOKUP(B55,Usuarios!$A:$V,6,FALSE),"")</f>
        <v/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 ht="24" customHeight="1">
      <c r="A56" s="2" t="n"/>
      <c r="B56" s="2" t="n"/>
      <c r="C56" s="2">
        <f>IFERROR(VLOOKUP(B56,Usuarios!$A:$V,2,FALSE)&amp;" "&amp;VLOOKUP(B56,Usuarios!$A:$V,3,FALSE),"")</f>
        <v/>
      </c>
      <c r="D56" s="2">
        <f>IFERROR(VLOOKUP(B56,Usuarios!$A:$V,6,FALSE),"")</f>
        <v/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 ht="24" customHeight="1">
      <c r="A57" s="2" t="n"/>
      <c r="B57" s="2" t="n"/>
      <c r="C57" s="2">
        <f>IFERROR(VLOOKUP(B57,Usuarios!$A:$V,2,FALSE)&amp;" "&amp;VLOOKUP(B57,Usuarios!$A:$V,3,FALSE),"")</f>
        <v/>
      </c>
      <c r="D57" s="2">
        <f>IFERROR(VLOOKUP(B57,Usuarios!$A:$V,6,FALSE),"")</f>
        <v/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 ht="24" customHeight="1">
      <c r="A58" s="2" t="n"/>
      <c r="B58" s="2" t="n"/>
      <c r="C58" s="2">
        <f>IFERROR(VLOOKUP(B58,Usuarios!$A:$V,2,FALSE)&amp;" "&amp;VLOOKUP(B58,Usuarios!$A:$V,3,FALSE),"")</f>
        <v/>
      </c>
      <c r="D58" s="2">
        <f>IFERROR(VLOOKUP(B58,Usuarios!$A:$V,6,FALSE),"")</f>
        <v/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 ht="24" customHeight="1">
      <c r="A59" s="2" t="n"/>
      <c r="B59" s="2" t="n"/>
      <c r="C59" s="2">
        <f>IFERROR(VLOOKUP(B59,Usuarios!$A:$V,2,FALSE)&amp;" "&amp;VLOOKUP(B59,Usuarios!$A:$V,3,FALSE),"")</f>
        <v/>
      </c>
      <c r="D59" s="2">
        <f>IFERROR(VLOOKUP(B59,Usuarios!$A:$V,6,FALSE),"")</f>
        <v/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 ht="24" customHeight="1">
      <c r="A60" s="2" t="n"/>
      <c r="B60" s="2" t="n"/>
      <c r="C60" s="2">
        <f>IFERROR(VLOOKUP(B60,Usuarios!$A:$V,2,FALSE)&amp;" "&amp;VLOOKUP(B60,Usuarios!$A:$V,3,FALSE),"")</f>
        <v/>
      </c>
      <c r="D60" s="2">
        <f>IFERROR(VLOOKUP(B60,Usuarios!$A:$V,6,FALSE),"")</f>
        <v/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 ht="24" customHeight="1">
      <c r="A61" s="2" t="n"/>
      <c r="B61" s="2" t="n"/>
      <c r="C61" s="2">
        <f>IFERROR(VLOOKUP(B61,Usuarios!$A:$V,2,FALSE)&amp;" "&amp;VLOOKUP(B61,Usuarios!$A:$V,3,FALSE),"")</f>
        <v/>
      </c>
      <c r="D61" s="2">
        <f>IFERROR(VLOOKUP(B61,Usuarios!$A:$V,6,FALSE),"")</f>
        <v/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 ht="24" customHeight="1">
      <c r="A62" s="2" t="n"/>
      <c r="B62" s="2" t="n"/>
      <c r="C62" s="2">
        <f>IFERROR(VLOOKUP(B62,Usuarios!$A:$V,2,FALSE)&amp;" "&amp;VLOOKUP(B62,Usuarios!$A:$V,3,FALSE),"")</f>
        <v/>
      </c>
      <c r="D62" s="2">
        <f>IFERROR(VLOOKUP(B62,Usuarios!$A:$V,6,FALSE),"")</f>
        <v/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 ht="24" customHeight="1">
      <c r="A63" s="2" t="n"/>
      <c r="B63" s="2" t="n"/>
      <c r="C63" s="2">
        <f>IFERROR(VLOOKUP(B63,Usuarios!$A:$V,2,FALSE)&amp;" "&amp;VLOOKUP(B63,Usuarios!$A:$V,3,FALSE),"")</f>
        <v/>
      </c>
      <c r="D63" s="2">
        <f>IFERROR(VLOOKUP(B63,Usuarios!$A:$V,6,FALSE),"")</f>
        <v/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 ht="24" customHeight="1">
      <c r="A64" s="2" t="n"/>
      <c r="B64" s="2" t="n"/>
      <c r="C64" s="2">
        <f>IFERROR(VLOOKUP(B64,Usuarios!$A:$V,2,FALSE)&amp;" "&amp;VLOOKUP(B64,Usuarios!$A:$V,3,FALSE),"")</f>
        <v/>
      </c>
      <c r="D64" s="2">
        <f>IFERROR(VLOOKUP(B64,Usuarios!$A:$V,6,FALSE),"")</f>
        <v/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 ht="24" customHeight="1">
      <c r="A65" s="2" t="n"/>
      <c r="B65" s="2" t="n"/>
      <c r="C65" s="2">
        <f>IFERROR(VLOOKUP(B65,Usuarios!$A:$V,2,FALSE)&amp;" "&amp;VLOOKUP(B65,Usuarios!$A:$V,3,FALSE),"")</f>
        <v/>
      </c>
      <c r="D65" s="2">
        <f>IFERROR(VLOOKUP(B65,Usuarios!$A:$V,6,FALSE),"")</f>
        <v/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 ht="24" customHeight="1">
      <c r="A66" s="2" t="n"/>
      <c r="B66" s="2" t="n"/>
      <c r="C66" s="2">
        <f>IFERROR(VLOOKUP(B66,Usuarios!$A:$V,2,FALSE)&amp;" "&amp;VLOOKUP(B66,Usuarios!$A:$V,3,FALSE),"")</f>
        <v/>
      </c>
      <c r="D66" s="2">
        <f>IFERROR(VLOOKUP(B66,Usuarios!$A:$V,6,FALSE),"")</f>
        <v/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 ht="24" customHeight="1">
      <c r="A67" s="2" t="n"/>
      <c r="B67" s="2" t="n"/>
      <c r="C67" s="2">
        <f>IFERROR(VLOOKUP(B67,Usuarios!$A:$V,2,FALSE)&amp;" "&amp;VLOOKUP(B67,Usuarios!$A:$V,3,FALSE),"")</f>
        <v/>
      </c>
      <c r="D67" s="2">
        <f>IFERROR(VLOOKUP(B67,Usuarios!$A:$V,6,FALSE),"")</f>
        <v/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 ht="24" customHeight="1">
      <c r="A68" s="2" t="n"/>
      <c r="B68" s="2" t="n"/>
      <c r="C68" s="2">
        <f>IFERROR(VLOOKUP(B68,Usuarios!$A:$V,2,FALSE)&amp;" "&amp;VLOOKUP(B68,Usuarios!$A:$V,3,FALSE),"")</f>
        <v/>
      </c>
      <c r="D68" s="2">
        <f>IFERROR(VLOOKUP(B68,Usuarios!$A:$V,6,FALSE),"")</f>
        <v/>
      </c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 ht="24" customHeight="1">
      <c r="A69" s="2" t="n"/>
      <c r="B69" s="2" t="n"/>
      <c r="C69" s="2">
        <f>IFERROR(VLOOKUP(B69,Usuarios!$A:$V,2,FALSE)&amp;" "&amp;VLOOKUP(B69,Usuarios!$A:$V,3,FALSE),"")</f>
        <v/>
      </c>
      <c r="D69" s="2">
        <f>IFERROR(VLOOKUP(B69,Usuarios!$A:$V,6,FALSE),"")</f>
        <v/>
      </c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 ht="24" customHeight="1">
      <c r="A70" s="2" t="n"/>
      <c r="B70" s="2" t="n"/>
      <c r="C70" s="2">
        <f>IFERROR(VLOOKUP(B70,Usuarios!$A:$V,2,FALSE)&amp;" "&amp;VLOOKUP(B70,Usuarios!$A:$V,3,FALSE),"")</f>
        <v/>
      </c>
      <c r="D70" s="2">
        <f>IFERROR(VLOOKUP(B70,Usuarios!$A:$V,6,FALSE),"")</f>
        <v/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 ht="24" customHeight="1">
      <c r="A71" s="2" t="n"/>
      <c r="B71" s="2" t="n"/>
      <c r="C71" s="2">
        <f>IFERROR(VLOOKUP(B71,Usuarios!$A:$V,2,FALSE)&amp;" "&amp;VLOOKUP(B71,Usuarios!$A:$V,3,FALSE),"")</f>
        <v/>
      </c>
      <c r="D71" s="2">
        <f>IFERROR(VLOOKUP(B71,Usuarios!$A:$V,6,FALSE),"")</f>
        <v/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 ht="24" customHeight="1">
      <c r="A72" s="2" t="n"/>
      <c r="B72" s="2" t="n"/>
      <c r="C72" s="2">
        <f>IFERROR(VLOOKUP(B72,Usuarios!$A:$V,2,FALSE)&amp;" "&amp;VLOOKUP(B72,Usuarios!$A:$V,3,FALSE),"")</f>
        <v/>
      </c>
      <c r="D72" s="2">
        <f>IFERROR(VLOOKUP(B72,Usuarios!$A:$V,6,FALSE),"")</f>
        <v/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 ht="24" customHeight="1">
      <c r="A73" s="2" t="n"/>
      <c r="B73" s="2" t="n"/>
      <c r="C73" s="2">
        <f>IFERROR(VLOOKUP(B73,Usuarios!$A:$V,2,FALSE)&amp;" "&amp;VLOOKUP(B73,Usuarios!$A:$V,3,FALSE),"")</f>
        <v/>
      </c>
      <c r="D73" s="2">
        <f>IFERROR(VLOOKUP(B73,Usuarios!$A:$V,6,FALSE),"")</f>
        <v/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 ht="24" customHeight="1">
      <c r="A74" s="2" t="n"/>
      <c r="B74" s="2" t="n"/>
      <c r="C74" s="2">
        <f>IFERROR(VLOOKUP(B74,Usuarios!$A:$V,2,FALSE)&amp;" "&amp;VLOOKUP(B74,Usuarios!$A:$V,3,FALSE),"")</f>
        <v/>
      </c>
      <c r="D74" s="2">
        <f>IFERROR(VLOOKUP(B74,Usuarios!$A:$V,6,FALSE),"")</f>
        <v/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 ht="24" customHeight="1">
      <c r="A75" s="2" t="n"/>
      <c r="B75" s="2" t="n"/>
      <c r="C75" s="2">
        <f>IFERROR(VLOOKUP(B75,Usuarios!$A:$V,2,FALSE)&amp;" "&amp;VLOOKUP(B75,Usuarios!$A:$V,3,FALSE),"")</f>
        <v/>
      </c>
      <c r="D75" s="2">
        <f>IFERROR(VLOOKUP(B75,Usuarios!$A:$V,6,FALSE),"")</f>
        <v/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 ht="24" customHeight="1">
      <c r="A76" s="2" t="n"/>
      <c r="B76" s="2" t="n"/>
      <c r="C76" s="2">
        <f>IFERROR(VLOOKUP(B76,Usuarios!$A:$V,2,FALSE)&amp;" "&amp;VLOOKUP(B76,Usuarios!$A:$V,3,FALSE),"")</f>
        <v/>
      </c>
      <c r="D76" s="2">
        <f>IFERROR(VLOOKUP(B76,Usuarios!$A:$V,6,FALSE),"")</f>
        <v/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 ht="24" customHeight="1">
      <c r="A77" s="2" t="n"/>
      <c r="B77" s="2" t="n"/>
      <c r="C77" s="2">
        <f>IFERROR(VLOOKUP(B77,Usuarios!$A:$V,2,FALSE)&amp;" "&amp;VLOOKUP(B77,Usuarios!$A:$V,3,FALSE),"")</f>
        <v/>
      </c>
      <c r="D77" s="2">
        <f>IFERROR(VLOOKUP(B77,Usuarios!$A:$V,6,FALSE),"")</f>
        <v/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 ht="24" customHeight="1">
      <c r="A78" s="2" t="n"/>
      <c r="B78" s="2" t="n"/>
      <c r="C78" s="2">
        <f>IFERROR(VLOOKUP(B78,Usuarios!$A:$V,2,FALSE)&amp;" "&amp;VLOOKUP(B78,Usuarios!$A:$V,3,FALSE),"")</f>
        <v/>
      </c>
      <c r="D78" s="2">
        <f>IFERROR(VLOOKUP(B78,Usuarios!$A:$V,6,FALSE),"")</f>
        <v/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 ht="24" customHeight="1">
      <c r="A79" s="2" t="n"/>
      <c r="B79" s="2" t="n"/>
      <c r="C79" s="2">
        <f>IFERROR(VLOOKUP(B79,Usuarios!$A:$V,2,FALSE)&amp;" "&amp;VLOOKUP(B79,Usuarios!$A:$V,3,FALSE),"")</f>
        <v/>
      </c>
      <c r="D79" s="2">
        <f>IFERROR(VLOOKUP(B79,Usuarios!$A:$V,6,FALSE),"")</f>
        <v/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 ht="24" customHeight="1">
      <c r="A80" s="2" t="n"/>
      <c r="B80" s="2" t="n"/>
      <c r="C80" s="2">
        <f>IFERROR(VLOOKUP(B80,Usuarios!$A:$V,2,FALSE)&amp;" "&amp;VLOOKUP(B80,Usuarios!$A:$V,3,FALSE),"")</f>
        <v/>
      </c>
      <c r="D80" s="2">
        <f>IFERROR(VLOOKUP(B80,Usuarios!$A:$V,6,FALSE),"")</f>
        <v/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 ht="24" customHeight="1">
      <c r="A81" s="2" t="n"/>
      <c r="B81" s="2" t="n"/>
      <c r="C81" s="2">
        <f>IFERROR(VLOOKUP(B81,Usuarios!$A:$V,2,FALSE)&amp;" "&amp;VLOOKUP(B81,Usuarios!$A:$V,3,FALSE),"")</f>
        <v/>
      </c>
      <c r="D81" s="2">
        <f>IFERROR(VLOOKUP(B81,Usuarios!$A:$V,6,FALSE),"")</f>
        <v/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 ht="24" customHeight="1">
      <c r="A82" s="2" t="n"/>
      <c r="B82" s="2" t="n"/>
      <c r="C82" s="2">
        <f>IFERROR(VLOOKUP(B82,Usuarios!$A:$V,2,FALSE)&amp;" "&amp;VLOOKUP(B82,Usuarios!$A:$V,3,FALSE),"")</f>
        <v/>
      </c>
      <c r="D82" s="2">
        <f>IFERROR(VLOOKUP(B82,Usuarios!$A:$V,6,FALSE),"")</f>
        <v/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 ht="24" customHeight="1">
      <c r="A83" s="2" t="n"/>
      <c r="B83" s="2" t="n"/>
      <c r="C83" s="2">
        <f>IFERROR(VLOOKUP(B83,Usuarios!$A:$V,2,FALSE)&amp;" "&amp;VLOOKUP(B83,Usuarios!$A:$V,3,FALSE),"")</f>
        <v/>
      </c>
      <c r="D83" s="2">
        <f>IFERROR(VLOOKUP(B83,Usuarios!$A:$V,6,FALSE),"")</f>
        <v/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 ht="24" customHeight="1">
      <c r="A84" s="2" t="n"/>
      <c r="B84" s="2" t="n"/>
      <c r="C84" s="2">
        <f>IFERROR(VLOOKUP(B84,Usuarios!$A:$V,2,FALSE)&amp;" "&amp;VLOOKUP(B84,Usuarios!$A:$V,3,FALSE),"")</f>
        <v/>
      </c>
      <c r="D84" s="2">
        <f>IFERROR(VLOOKUP(B84,Usuarios!$A:$V,6,FALSE),"")</f>
        <v/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 ht="24" customHeight="1">
      <c r="A85" s="2" t="n"/>
      <c r="B85" s="2" t="n"/>
      <c r="C85" s="2">
        <f>IFERROR(VLOOKUP(B85,Usuarios!$A:$V,2,FALSE)&amp;" "&amp;VLOOKUP(B85,Usuarios!$A:$V,3,FALSE),"")</f>
        <v/>
      </c>
      <c r="D85" s="2">
        <f>IFERROR(VLOOKUP(B85,Usuarios!$A:$V,6,FALSE),"")</f>
        <v/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 ht="24" customHeight="1">
      <c r="A86" s="2" t="n"/>
      <c r="B86" s="2" t="n"/>
      <c r="C86" s="2">
        <f>IFERROR(VLOOKUP(B86,Usuarios!$A:$V,2,FALSE)&amp;" "&amp;VLOOKUP(B86,Usuarios!$A:$V,3,FALSE),"")</f>
        <v/>
      </c>
      <c r="D86" s="2">
        <f>IFERROR(VLOOKUP(B86,Usuarios!$A:$V,6,FALSE),"")</f>
        <v/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 ht="24" customHeight="1">
      <c r="A87" s="2" t="n"/>
      <c r="B87" s="2" t="n"/>
      <c r="C87" s="2">
        <f>IFERROR(VLOOKUP(B87,Usuarios!$A:$V,2,FALSE)&amp;" "&amp;VLOOKUP(B87,Usuarios!$A:$V,3,FALSE),"")</f>
        <v/>
      </c>
      <c r="D87" s="2">
        <f>IFERROR(VLOOKUP(B87,Usuarios!$A:$V,6,FALSE),"")</f>
        <v/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 ht="24" customHeight="1">
      <c r="A88" s="2" t="n"/>
      <c r="B88" s="2" t="n"/>
      <c r="C88" s="2">
        <f>IFERROR(VLOOKUP(B88,Usuarios!$A:$V,2,FALSE)&amp;" "&amp;VLOOKUP(B88,Usuarios!$A:$V,3,FALSE),"")</f>
        <v/>
      </c>
      <c r="D88" s="2">
        <f>IFERROR(VLOOKUP(B88,Usuarios!$A:$V,6,FALSE),"")</f>
        <v/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 ht="24" customHeight="1">
      <c r="A89" s="2" t="n"/>
      <c r="B89" s="2" t="n"/>
      <c r="C89" s="2">
        <f>IFERROR(VLOOKUP(B89,Usuarios!$A:$V,2,FALSE)&amp;" "&amp;VLOOKUP(B89,Usuarios!$A:$V,3,FALSE),"")</f>
        <v/>
      </c>
      <c r="D89" s="2">
        <f>IFERROR(VLOOKUP(B89,Usuarios!$A:$V,6,FALSE),"")</f>
        <v/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 ht="24" customHeight="1">
      <c r="A90" s="2" t="n"/>
      <c r="B90" s="2" t="n"/>
      <c r="C90" s="2">
        <f>IFERROR(VLOOKUP(B90,Usuarios!$A:$V,2,FALSE)&amp;" "&amp;VLOOKUP(B90,Usuarios!$A:$V,3,FALSE),"")</f>
        <v/>
      </c>
      <c r="D90" s="2">
        <f>IFERROR(VLOOKUP(B90,Usuarios!$A:$V,6,FALSE),"")</f>
        <v/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 ht="24" customHeight="1">
      <c r="A91" s="2" t="n"/>
      <c r="B91" s="2" t="n"/>
      <c r="C91" s="2">
        <f>IFERROR(VLOOKUP(B91,Usuarios!$A:$V,2,FALSE)&amp;" "&amp;VLOOKUP(B91,Usuarios!$A:$V,3,FALSE),"")</f>
        <v/>
      </c>
      <c r="D91" s="2">
        <f>IFERROR(VLOOKUP(B91,Usuarios!$A:$V,6,FALSE),"")</f>
        <v/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 ht="24" customHeight="1">
      <c r="A92" s="2" t="n"/>
      <c r="B92" s="2" t="n"/>
      <c r="C92" s="2">
        <f>IFERROR(VLOOKUP(B92,Usuarios!$A:$V,2,FALSE)&amp;" "&amp;VLOOKUP(B92,Usuarios!$A:$V,3,FALSE),"")</f>
        <v/>
      </c>
      <c r="D92" s="2">
        <f>IFERROR(VLOOKUP(B92,Usuarios!$A:$V,6,FALSE),"")</f>
        <v/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 ht="24" customHeight="1">
      <c r="A93" s="2" t="n"/>
      <c r="B93" s="2" t="n"/>
      <c r="C93" s="2">
        <f>IFERROR(VLOOKUP(B93,Usuarios!$A:$V,2,FALSE)&amp;" "&amp;VLOOKUP(B93,Usuarios!$A:$V,3,FALSE),"")</f>
        <v/>
      </c>
      <c r="D93" s="2">
        <f>IFERROR(VLOOKUP(B93,Usuarios!$A:$V,6,FALSE),"")</f>
        <v/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 ht="24" customHeight="1">
      <c r="A94" s="2" t="n"/>
      <c r="B94" s="2" t="n"/>
      <c r="C94" s="2">
        <f>IFERROR(VLOOKUP(B94,Usuarios!$A:$V,2,FALSE)&amp;" "&amp;VLOOKUP(B94,Usuarios!$A:$V,3,FALSE),"")</f>
        <v/>
      </c>
      <c r="D94" s="2">
        <f>IFERROR(VLOOKUP(B94,Usuarios!$A:$V,6,FALSE),"")</f>
        <v/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 ht="24" customHeight="1">
      <c r="A95" s="2" t="n"/>
      <c r="B95" s="2" t="n"/>
      <c r="C95" s="2">
        <f>IFERROR(VLOOKUP(B95,Usuarios!$A:$V,2,FALSE)&amp;" "&amp;VLOOKUP(B95,Usuarios!$A:$V,3,FALSE),"")</f>
        <v/>
      </c>
      <c r="D95" s="2">
        <f>IFERROR(VLOOKUP(B95,Usuarios!$A:$V,6,FALSE),"")</f>
        <v/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 ht="24" customHeight="1">
      <c r="A96" s="2" t="n"/>
      <c r="B96" s="2" t="n"/>
      <c r="C96" s="2">
        <f>IFERROR(VLOOKUP(B96,Usuarios!$A:$V,2,FALSE)&amp;" "&amp;VLOOKUP(B96,Usuarios!$A:$V,3,FALSE),"")</f>
        <v/>
      </c>
      <c r="D96" s="2">
        <f>IFERROR(VLOOKUP(B96,Usuarios!$A:$V,6,FALSE),"")</f>
        <v/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 ht="24" customHeight="1">
      <c r="A97" s="2" t="n"/>
      <c r="B97" s="2" t="n"/>
      <c r="C97" s="2">
        <f>IFERROR(VLOOKUP(B97,Usuarios!$A:$V,2,FALSE)&amp;" "&amp;VLOOKUP(B97,Usuarios!$A:$V,3,FALSE),"")</f>
        <v/>
      </c>
      <c r="D97" s="2">
        <f>IFERROR(VLOOKUP(B97,Usuarios!$A:$V,6,FALSE),"")</f>
        <v/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 ht="24" customHeight="1">
      <c r="A98" s="2" t="n"/>
      <c r="B98" s="2" t="n"/>
      <c r="C98" s="2">
        <f>IFERROR(VLOOKUP(B98,Usuarios!$A:$V,2,FALSE)&amp;" "&amp;VLOOKUP(B98,Usuarios!$A:$V,3,FALSE),"")</f>
        <v/>
      </c>
      <c r="D98" s="2">
        <f>IFERROR(VLOOKUP(B98,Usuarios!$A:$V,6,FALSE),"")</f>
        <v/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 ht="24" customHeight="1">
      <c r="A99" s="2" t="n"/>
      <c r="B99" s="2" t="n"/>
      <c r="C99" s="2">
        <f>IFERROR(VLOOKUP(B99,Usuarios!$A:$V,2,FALSE)&amp;" "&amp;VLOOKUP(B99,Usuarios!$A:$V,3,FALSE),"")</f>
        <v/>
      </c>
      <c r="D99" s="2">
        <f>IFERROR(VLOOKUP(B99,Usuarios!$A:$V,6,FALSE),"")</f>
        <v/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 ht="24" customHeight="1">
      <c r="A100" s="2" t="n"/>
      <c r="B100" s="2" t="n"/>
      <c r="C100" s="2">
        <f>IFERROR(VLOOKUP(B100,Usuarios!$A:$V,2,FALSE)&amp;" "&amp;VLOOKUP(B100,Usuarios!$A:$V,3,FALSE),"")</f>
        <v/>
      </c>
      <c r="D100" s="2">
        <f>IFERROR(VLOOKUP(B100,Usuarios!$A:$V,6,FALSE),"")</f>
        <v/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 ht="24" customHeight="1">
      <c r="A101" s="2" t="n"/>
      <c r="B101" s="2" t="n"/>
      <c r="C101" s="2">
        <f>IFERROR(VLOOKUP(B101,Usuarios!$A:$V,2,FALSE)&amp;" "&amp;VLOOKUP(B101,Usuarios!$A:$V,3,FALSE),"")</f>
        <v/>
      </c>
      <c r="D101" s="2">
        <f>IFERROR(VLOOKUP(B101,Usuarios!$A:$V,6,FALSE),"")</f>
        <v/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 ht="24" customHeight="1">
      <c r="A102" s="2" t="n"/>
      <c r="B102" s="2" t="n"/>
      <c r="C102" s="2">
        <f>IFERROR(VLOOKUP(B102,Usuarios!$A:$V,2,FALSE)&amp;" "&amp;VLOOKUP(B102,Usuarios!$A:$V,3,FALSE),"")</f>
        <v/>
      </c>
      <c r="D102" s="2">
        <f>IFERROR(VLOOKUP(B102,Usuarios!$A:$V,6,FALSE),"")</f>
        <v/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 ht="24" customHeight="1">
      <c r="A103" s="2" t="n"/>
      <c r="B103" s="2" t="n"/>
      <c r="C103" s="2">
        <f>IFERROR(VLOOKUP(B103,Usuarios!$A:$V,2,FALSE)&amp;" "&amp;VLOOKUP(B103,Usuarios!$A:$V,3,FALSE),"")</f>
        <v/>
      </c>
      <c r="D103" s="2">
        <f>IFERROR(VLOOKUP(B103,Usuarios!$A:$V,6,FALSE),"")</f>
        <v/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 ht="24" customHeight="1">
      <c r="A104" s="2" t="n"/>
      <c r="B104" s="2" t="n"/>
      <c r="C104" s="2">
        <f>IFERROR(VLOOKUP(B104,Usuarios!$A:$V,2,FALSE)&amp;" "&amp;VLOOKUP(B104,Usuarios!$A:$V,3,FALSE),"")</f>
        <v/>
      </c>
      <c r="D104" s="2">
        <f>IFERROR(VLOOKUP(B104,Usuarios!$A:$V,6,FALSE),"")</f>
        <v/>
      </c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 ht="24" customHeight="1">
      <c r="A105" s="2" t="n"/>
      <c r="B105" s="2" t="n"/>
      <c r="C105" s="2">
        <f>IFERROR(VLOOKUP(B105,Usuarios!$A:$V,2,FALSE)&amp;" "&amp;VLOOKUP(B105,Usuarios!$A:$V,3,FALSE),"")</f>
        <v/>
      </c>
      <c r="D105" s="2">
        <f>IFERROR(VLOOKUP(B105,Usuarios!$A:$V,6,FALSE),"")</f>
        <v/>
      </c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 ht="24" customHeight="1">
      <c r="A106" s="2" t="n"/>
      <c r="B106" s="2" t="n"/>
      <c r="C106" s="2">
        <f>IFERROR(VLOOKUP(B106,Usuarios!$A:$V,2,FALSE)&amp;" "&amp;VLOOKUP(B106,Usuarios!$A:$V,3,FALSE),"")</f>
        <v/>
      </c>
      <c r="D106" s="2">
        <f>IFERROR(VLOOKUP(B106,Usuarios!$A:$V,6,FALSE),"")</f>
        <v/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 ht="24" customHeight="1">
      <c r="A107" s="2" t="n"/>
      <c r="B107" s="2" t="n"/>
      <c r="C107" s="2">
        <f>IFERROR(VLOOKUP(B107,Usuarios!$A:$V,2,FALSE)&amp;" "&amp;VLOOKUP(B107,Usuarios!$A:$V,3,FALSE),"")</f>
        <v/>
      </c>
      <c r="D107" s="2">
        <f>IFERROR(VLOOKUP(B107,Usuarios!$A:$V,6,FALSE),"")</f>
        <v/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 ht="24" customHeight="1">
      <c r="A108" s="2" t="n"/>
      <c r="B108" s="2" t="n"/>
      <c r="C108" s="2">
        <f>IFERROR(VLOOKUP(B108,Usuarios!$A:$V,2,FALSE)&amp;" "&amp;VLOOKUP(B108,Usuarios!$A:$V,3,FALSE),"")</f>
        <v/>
      </c>
      <c r="D108" s="2">
        <f>IFERROR(VLOOKUP(B108,Usuarios!$A:$V,6,FALSE),"")</f>
        <v/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 ht="24" customHeight="1">
      <c r="A109" s="2" t="n"/>
      <c r="B109" s="2" t="n"/>
      <c r="C109" s="2">
        <f>IFERROR(VLOOKUP(B109,Usuarios!$A:$V,2,FALSE)&amp;" "&amp;VLOOKUP(B109,Usuarios!$A:$V,3,FALSE),"")</f>
        <v/>
      </c>
      <c r="D109" s="2">
        <f>IFERROR(VLOOKUP(B109,Usuarios!$A:$V,6,FALSE),"")</f>
        <v/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 ht="24" customHeight="1">
      <c r="A110" s="2" t="n"/>
      <c r="B110" s="2" t="n"/>
      <c r="C110" s="2">
        <f>IFERROR(VLOOKUP(B110,Usuarios!$A:$V,2,FALSE)&amp;" "&amp;VLOOKUP(B110,Usuarios!$A:$V,3,FALSE),"")</f>
        <v/>
      </c>
      <c r="D110" s="2">
        <f>IFERROR(VLOOKUP(B110,Usuarios!$A:$V,6,FALSE),"")</f>
        <v/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 ht="24" customHeight="1">
      <c r="A111" s="2" t="n"/>
      <c r="B111" s="2" t="n"/>
      <c r="C111" s="2">
        <f>IFERROR(VLOOKUP(B111,Usuarios!$A:$V,2,FALSE)&amp;" "&amp;VLOOKUP(B111,Usuarios!$A:$V,3,FALSE),"")</f>
        <v/>
      </c>
      <c r="D111" s="2">
        <f>IFERROR(VLOOKUP(B111,Usuarios!$A:$V,6,FALSE),"")</f>
        <v/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 ht="24" customHeight="1">
      <c r="A112" s="2" t="n"/>
      <c r="B112" s="2" t="n"/>
      <c r="C112" s="2">
        <f>IFERROR(VLOOKUP(B112,Usuarios!$A:$V,2,FALSE)&amp;" "&amp;VLOOKUP(B112,Usuarios!$A:$V,3,FALSE),"")</f>
        <v/>
      </c>
      <c r="D112" s="2">
        <f>IFERROR(VLOOKUP(B112,Usuarios!$A:$V,6,FALSE),"")</f>
        <v/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 ht="24" customHeight="1">
      <c r="A113" s="2" t="n"/>
      <c r="B113" s="2" t="n"/>
      <c r="C113" s="2">
        <f>IFERROR(VLOOKUP(B113,Usuarios!$A:$V,2,FALSE)&amp;" "&amp;VLOOKUP(B113,Usuarios!$A:$V,3,FALSE),"")</f>
        <v/>
      </c>
      <c r="D113" s="2">
        <f>IFERROR(VLOOKUP(B113,Usuarios!$A:$V,6,FALSE),"")</f>
        <v/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 ht="24" customHeight="1">
      <c r="A114" s="2" t="n"/>
      <c r="B114" s="2" t="n"/>
      <c r="C114" s="2">
        <f>IFERROR(VLOOKUP(B114,Usuarios!$A:$V,2,FALSE)&amp;" "&amp;VLOOKUP(B114,Usuarios!$A:$V,3,FALSE),"")</f>
        <v/>
      </c>
      <c r="D114" s="2">
        <f>IFERROR(VLOOKUP(B114,Usuarios!$A:$V,6,FALSE),"")</f>
        <v/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 ht="24" customHeight="1">
      <c r="A115" s="2" t="n"/>
      <c r="B115" s="2" t="n"/>
      <c r="C115" s="2">
        <f>IFERROR(VLOOKUP(B115,Usuarios!$A:$V,2,FALSE)&amp;" "&amp;VLOOKUP(B115,Usuarios!$A:$V,3,FALSE),"")</f>
        <v/>
      </c>
      <c r="D115" s="2">
        <f>IFERROR(VLOOKUP(B115,Usuarios!$A:$V,6,FALSE),"")</f>
        <v/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 ht="24" customHeight="1">
      <c r="A116" s="2" t="n"/>
      <c r="B116" s="2" t="n"/>
      <c r="C116" s="2">
        <f>IFERROR(VLOOKUP(B116,Usuarios!$A:$V,2,FALSE)&amp;" "&amp;VLOOKUP(B116,Usuarios!$A:$V,3,FALSE),"")</f>
        <v/>
      </c>
      <c r="D116" s="2">
        <f>IFERROR(VLOOKUP(B116,Usuarios!$A:$V,6,FALSE),"")</f>
        <v/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 ht="24" customHeight="1">
      <c r="A117" s="2" t="n"/>
      <c r="B117" s="2" t="n"/>
      <c r="C117" s="2">
        <f>IFERROR(VLOOKUP(B117,Usuarios!$A:$V,2,FALSE)&amp;" "&amp;VLOOKUP(B117,Usuarios!$A:$V,3,FALSE),"")</f>
        <v/>
      </c>
      <c r="D117" s="2">
        <f>IFERROR(VLOOKUP(B117,Usuarios!$A:$V,6,FALSE),"")</f>
        <v/>
      </c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 ht="24" customHeight="1">
      <c r="A118" s="2" t="n"/>
      <c r="B118" s="2" t="n"/>
      <c r="C118" s="2">
        <f>IFERROR(VLOOKUP(B118,Usuarios!$A:$V,2,FALSE)&amp;" "&amp;VLOOKUP(B118,Usuarios!$A:$V,3,FALSE),"")</f>
        <v/>
      </c>
      <c r="D118" s="2">
        <f>IFERROR(VLOOKUP(B118,Usuarios!$A:$V,6,FALSE),"")</f>
        <v/>
      </c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 ht="24" customHeight="1">
      <c r="A119" s="2" t="n"/>
      <c r="B119" s="2" t="n"/>
      <c r="C119" s="2">
        <f>IFERROR(VLOOKUP(B119,Usuarios!$A:$V,2,FALSE)&amp;" "&amp;VLOOKUP(B119,Usuarios!$A:$V,3,FALSE),"")</f>
        <v/>
      </c>
      <c r="D119" s="2">
        <f>IFERROR(VLOOKUP(B119,Usuarios!$A:$V,6,FALSE),"")</f>
        <v/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 ht="24" customHeight="1">
      <c r="A120" s="2" t="n"/>
      <c r="B120" s="2" t="n"/>
      <c r="C120" s="2">
        <f>IFERROR(VLOOKUP(B120,Usuarios!$A:$V,2,FALSE)&amp;" "&amp;VLOOKUP(B120,Usuarios!$A:$V,3,FALSE),"")</f>
        <v/>
      </c>
      <c r="D120" s="2">
        <f>IFERROR(VLOOKUP(B120,Usuarios!$A:$V,6,FALSE),"")</f>
        <v/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 ht="24" customHeight="1">
      <c r="A121" s="2" t="n"/>
      <c r="B121" s="2" t="n"/>
      <c r="C121" s="2">
        <f>IFERROR(VLOOKUP(B121,Usuarios!$A:$V,2,FALSE)&amp;" "&amp;VLOOKUP(B121,Usuarios!$A:$V,3,FALSE),"")</f>
        <v/>
      </c>
      <c r="D121" s="2">
        <f>IFERROR(VLOOKUP(B121,Usuarios!$A:$V,6,FALSE),"")</f>
        <v/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 ht="24" customHeight="1">
      <c r="A122" s="2" t="n"/>
      <c r="B122" s="2" t="n"/>
      <c r="C122" s="2">
        <f>IFERROR(VLOOKUP(B122,Usuarios!$A:$V,2,FALSE)&amp;" "&amp;VLOOKUP(B122,Usuarios!$A:$V,3,FALSE),"")</f>
        <v/>
      </c>
      <c r="D122" s="2">
        <f>IFERROR(VLOOKUP(B122,Usuarios!$A:$V,6,FALSE),"")</f>
        <v/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 ht="24" customHeight="1">
      <c r="A123" s="2" t="n"/>
      <c r="B123" s="2" t="n"/>
      <c r="C123" s="2">
        <f>IFERROR(VLOOKUP(B123,Usuarios!$A:$V,2,FALSE)&amp;" "&amp;VLOOKUP(B123,Usuarios!$A:$V,3,FALSE),"")</f>
        <v/>
      </c>
      <c r="D123" s="2">
        <f>IFERROR(VLOOKUP(B123,Usuarios!$A:$V,6,FALSE),"")</f>
        <v/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 ht="24" customHeight="1">
      <c r="A124" s="2" t="n"/>
      <c r="B124" s="2" t="n"/>
      <c r="C124" s="2">
        <f>IFERROR(VLOOKUP(B124,Usuarios!$A:$V,2,FALSE)&amp;" "&amp;VLOOKUP(B124,Usuarios!$A:$V,3,FALSE),"")</f>
        <v/>
      </c>
      <c r="D124" s="2">
        <f>IFERROR(VLOOKUP(B124,Usuarios!$A:$V,6,FALSE),"")</f>
        <v/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 ht="24" customHeight="1">
      <c r="A125" s="2" t="n"/>
      <c r="B125" s="2" t="n"/>
      <c r="C125" s="2">
        <f>IFERROR(VLOOKUP(B125,Usuarios!$A:$V,2,FALSE)&amp;" "&amp;VLOOKUP(B125,Usuarios!$A:$V,3,FALSE),"")</f>
        <v/>
      </c>
      <c r="D125" s="2">
        <f>IFERROR(VLOOKUP(B125,Usuarios!$A:$V,6,FALSE),"")</f>
        <v/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 ht="24" customHeight="1">
      <c r="A126" s="2" t="n"/>
      <c r="B126" s="2" t="n"/>
      <c r="C126" s="2">
        <f>IFERROR(VLOOKUP(B126,Usuarios!$A:$V,2,FALSE)&amp;" "&amp;VLOOKUP(B126,Usuarios!$A:$V,3,FALSE),"")</f>
        <v/>
      </c>
      <c r="D126" s="2">
        <f>IFERROR(VLOOKUP(B126,Usuarios!$A:$V,6,FALSE),"")</f>
        <v/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 ht="24" customHeight="1">
      <c r="A127" s="2" t="n"/>
      <c r="B127" s="2" t="n"/>
      <c r="C127" s="2">
        <f>IFERROR(VLOOKUP(B127,Usuarios!$A:$V,2,FALSE)&amp;" "&amp;VLOOKUP(B127,Usuarios!$A:$V,3,FALSE),"")</f>
        <v/>
      </c>
      <c r="D127" s="2">
        <f>IFERROR(VLOOKUP(B127,Usuarios!$A:$V,6,FALSE),"")</f>
        <v/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 ht="24" customHeight="1">
      <c r="A128" s="2" t="n"/>
      <c r="B128" s="2" t="n"/>
      <c r="C128" s="2">
        <f>IFERROR(VLOOKUP(B128,Usuarios!$A:$V,2,FALSE)&amp;" "&amp;VLOOKUP(B128,Usuarios!$A:$V,3,FALSE),"")</f>
        <v/>
      </c>
      <c r="D128" s="2">
        <f>IFERROR(VLOOKUP(B128,Usuarios!$A:$V,6,FALSE),"")</f>
        <v/>
      </c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 ht="24" customHeight="1">
      <c r="A129" s="2" t="n"/>
      <c r="B129" s="2" t="n"/>
      <c r="C129" s="2">
        <f>IFERROR(VLOOKUP(B129,Usuarios!$A:$V,2,FALSE)&amp;" "&amp;VLOOKUP(B129,Usuarios!$A:$V,3,FALSE),"")</f>
        <v/>
      </c>
      <c r="D129" s="2">
        <f>IFERROR(VLOOKUP(B129,Usuarios!$A:$V,6,FALSE),"")</f>
        <v/>
      </c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 ht="24" customHeight="1">
      <c r="A130" s="2" t="n"/>
      <c r="B130" s="2" t="n"/>
      <c r="C130" s="2">
        <f>IFERROR(VLOOKUP(B130,Usuarios!$A:$V,2,FALSE)&amp;" "&amp;VLOOKUP(B130,Usuarios!$A:$V,3,FALSE),"")</f>
        <v/>
      </c>
      <c r="D130" s="2">
        <f>IFERROR(VLOOKUP(B130,Usuarios!$A:$V,6,FALSE),"")</f>
        <v/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 ht="24" customHeight="1">
      <c r="A131" s="2" t="n"/>
      <c r="B131" s="2" t="n"/>
      <c r="C131" s="2">
        <f>IFERROR(VLOOKUP(B131,Usuarios!$A:$V,2,FALSE)&amp;" "&amp;VLOOKUP(B131,Usuarios!$A:$V,3,FALSE),"")</f>
        <v/>
      </c>
      <c r="D131" s="2">
        <f>IFERROR(VLOOKUP(B131,Usuarios!$A:$V,6,FALSE),"")</f>
        <v/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 ht="24" customHeight="1">
      <c r="A132" s="2" t="n"/>
      <c r="B132" s="2" t="n"/>
      <c r="C132" s="2">
        <f>IFERROR(VLOOKUP(B132,Usuarios!$A:$V,2,FALSE)&amp;" "&amp;VLOOKUP(B132,Usuarios!$A:$V,3,FALSE),"")</f>
        <v/>
      </c>
      <c r="D132" s="2">
        <f>IFERROR(VLOOKUP(B132,Usuarios!$A:$V,6,FALSE),"")</f>
        <v/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 ht="24" customHeight="1">
      <c r="A133" s="2" t="n"/>
      <c r="B133" s="2" t="n"/>
      <c r="C133" s="2">
        <f>IFERROR(VLOOKUP(B133,Usuarios!$A:$V,2,FALSE)&amp;" "&amp;VLOOKUP(B133,Usuarios!$A:$V,3,FALSE),"")</f>
        <v/>
      </c>
      <c r="D133" s="2">
        <f>IFERROR(VLOOKUP(B133,Usuarios!$A:$V,6,FALSE),"")</f>
        <v/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 ht="24" customHeight="1">
      <c r="A134" s="2" t="n"/>
      <c r="B134" s="2" t="n"/>
      <c r="C134" s="2">
        <f>IFERROR(VLOOKUP(B134,Usuarios!$A:$V,2,FALSE)&amp;" "&amp;VLOOKUP(B134,Usuarios!$A:$V,3,FALSE),"")</f>
        <v/>
      </c>
      <c r="D134" s="2">
        <f>IFERROR(VLOOKUP(B134,Usuarios!$A:$V,6,FALSE),"")</f>
        <v/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 ht="24" customHeight="1">
      <c r="A135" s="2" t="n"/>
      <c r="B135" s="2" t="n"/>
      <c r="C135" s="2">
        <f>IFERROR(VLOOKUP(B135,Usuarios!$A:$V,2,FALSE)&amp;" "&amp;VLOOKUP(B135,Usuarios!$A:$V,3,FALSE),"")</f>
        <v/>
      </c>
      <c r="D135" s="2">
        <f>IFERROR(VLOOKUP(B135,Usuarios!$A:$V,6,FALSE),"")</f>
        <v/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 ht="24" customHeight="1">
      <c r="A136" s="2" t="n"/>
      <c r="B136" s="2" t="n"/>
      <c r="C136" s="2">
        <f>IFERROR(VLOOKUP(B136,Usuarios!$A:$V,2,FALSE)&amp;" "&amp;VLOOKUP(B136,Usuarios!$A:$V,3,FALSE),"")</f>
        <v/>
      </c>
      <c r="D136" s="2">
        <f>IFERROR(VLOOKUP(B136,Usuarios!$A:$V,6,FALSE),"")</f>
        <v/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 ht="24" customHeight="1">
      <c r="A137" s="2" t="n"/>
      <c r="B137" s="2" t="n"/>
      <c r="C137" s="2">
        <f>IFERROR(VLOOKUP(B137,Usuarios!$A:$V,2,FALSE)&amp;" "&amp;VLOOKUP(B137,Usuarios!$A:$V,3,FALSE),"")</f>
        <v/>
      </c>
      <c r="D137" s="2">
        <f>IFERROR(VLOOKUP(B137,Usuarios!$A:$V,6,FALSE),"")</f>
        <v/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 ht="24" customHeight="1">
      <c r="A138" s="2" t="n"/>
      <c r="B138" s="2" t="n"/>
      <c r="C138" s="2">
        <f>IFERROR(VLOOKUP(B138,Usuarios!$A:$V,2,FALSE)&amp;" "&amp;VLOOKUP(B138,Usuarios!$A:$V,3,FALSE),"")</f>
        <v/>
      </c>
      <c r="D138" s="2">
        <f>IFERROR(VLOOKUP(B138,Usuarios!$A:$V,6,FALSE),"")</f>
        <v/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 ht="24" customHeight="1">
      <c r="A139" s="2" t="n"/>
      <c r="B139" s="2" t="n"/>
      <c r="C139" s="2">
        <f>IFERROR(VLOOKUP(B139,Usuarios!$A:$V,2,FALSE)&amp;" "&amp;VLOOKUP(B139,Usuarios!$A:$V,3,FALSE),"")</f>
        <v/>
      </c>
      <c r="D139" s="2">
        <f>IFERROR(VLOOKUP(B139,Usuarios!$A:$V,6,FALSE),"")</f>
        <v/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 ht="24" customHeight="1">
      <c r="A140" s="2" t="n"/>
      <c r="B140" s="2" t="n"/>
      <c r="C140" s="2">
        <f>IFERROR(VLOOKUP(B140,Usuarios!$A:$V,2,FALSE)&amp;" "&amp;VLOOKUP(B140,Usuarios!$A:$V,3,FALSE),"")</f>
        <v/>
      </c>
      <c r="D140" s="2">
        <f>IFERROR(VLOOKUP(B140,Usuarios!$A:$V,6,FALSE),"")</f>
        <v/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 ht="24" customHeight="1">
      <c r="A141" s="2" t="n"/>
      <c r="B141" s="2" t="n"/>
      <c r="C141" s="2">
        <f>IFERROR(VLOOKUP(B141,Usuarios!$A:$V,2,FALSE)&amp;" "&amp;VLOOKUP(B141,Usuarios!$A:$V,3,FALSE),"")</f>
        <v/>
      </c>
      <c r="D141" s="2">
        <f>IFERROR(VLOOKUP(B141,Usuarios!$A:$V,6,FALSE),"")</f>
        <v/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 ht="24" customHeight="1">
      <c r="A142" s="2" t="n"/>
      <c r="B142" s="2" t="n"/>
      <c r="C142" s="2">
        <f>IFERROR(VLOOKUP(B142,Usuarios!$A:$V,2,FALSE)&amp;" "&amp;VLOOKUP(B142,Usuarios!$A:$V,3,FALSE),"")</f>
        <v/>
      </c>
      <c r="D142" s="2">
        <f>IFERROR(VLOOKUP(B142,Usuarios!$A:$V,6,FALSE),"")</f>
        <v/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 ht="24" customHeight="1">
      <c r="A143" s="2" t="n"/>
      <c r="B143" s="2" t="n"/>
      <c r="C143" s="2">
        <f>IFERROR(VLOOKUP(B143,Usuarios!$A:$V,2,FALSE)&amp;" "&amp;VLOOKUP(B143,Usuarios!$A:$V,3,FALSE),"")</f>
        <v/>
      </c>
      <c r="D143" s="2">
        <f>IFERROR(VLOOKUP(B143,Usuarios!$A:$V,6,FALSE),"")</f>
        <v/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 ht="24" customHeight="1">
      <c r="A144" s="2" t="n"/>
      <c r="B144" s="2" t="n"/>
      <c r="C144" s="2">
        <f>IFERROR(VLOOKUP(B144,Usuarios!$A:$V,2,FALSE)&amp;" "&amp;VLOOKUP(B144,Usuarios!$A:$V,3,FALSE),"")</f>
        <v/>
      </c>
      <c r="D144" s="2">
        <f>IFERROR(VLOOKUP(B144,Usuarios!$A:$V,6,FALSE),"")</f>
        <v/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 ht="24" customHeight="1">
      <c r="A145" s="2" t="n"/>
      <c r="B145" s="2" t="n"/>
      <c r="C145" s="2">
        <f>IFERROR(VLOOKUP(B145,Usuarios!$A:$V,2,FALSE)&amp;" "&amp;VLOOKUP(B145,Usuarios!$A:$V,3,FALSE),"")</f>
        <v/>
      </c>
      <c r="D145" s="2">
        <f>IFERROR(VLOOKUP(B145,Usuarios!$A:$V,6,FALSE),"")</f>
        <v/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 ht="24" customHeight="1">
      <c r="A146" s="2" t="n"/>
      <c r="B146" s="2" t="n"/>
      <c r="C146" s="2">
        <f>IFERROR(VLOOKUP(B146,Usuarios!$A:$V,2,FALSE)&amp;" "&amp;VLOOKUP(B146,Usuarios!$A:$V,3,FALSE),"")</f>
        <v/>
      </c>
      <c r="D146" s="2">
        <f>IFERROR(VLOOKUP(B146,Usuarios!$A:$V,6,FALSE),"")</f>
        <v/>
      </c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 ht="24" customHeight="1">
      <c r="A147" s="2" t="n"/>
      <c r="B147" s="2" t="n"/>
      <c r="C147" s="2">
        <f>IFERROR(VLOOKUP(B147,Usuarios!$A:$V,2,FALSE)&amp;" "&amp;VLOOKUP(B147,Usuarios!$A:$V,3,FALSE),"")</f>
        <v/>
      </c>
      <c r="D147" s="2">
        <f>IFERROR(VLOOKUP(B147,Usuarios!$A:$V,6,FALSE),"")</f>
        <v/>
      </c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 ht="24" customHeight="1">
      <c r="A148" s="2" t="n"/>
      <c r="B148" s="2" t="n"/>
      <c r="C148" s="2">
        <f>IFERROR(VLOOKUP(B148,Usuarios!$A:$V,2,FALSE)&amp;" "&amp;VLOOKUP(B148,Usuarios!$A:$V,3,FALSE),"")</f>
        <v/>
      </c>
      <c r="D148" s="2">
        <f>IFERROR(VLOOKUP(B148,Usuarios!$A:$V,6,FALSE),"")</f>
        <v/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 ht="24" customHeight="1">
      <c r="A149" s="2" t="n"/>
      <c r="B149" s="2" t="n"/>
      <c r="C149" s="2">
        <f>IFERROR(VLOOKUP(B149,Usuarios!$A:$V,2,FALSE)&amp;" "&amp;VLOOKUP(B149,Usuarios!$A:$V,3,FALSE),"")</f>
        <v/>
      </c>
      <c r="D149" s="2">
        <f>IFERROR(VLOOKUP(B149,Usuarios!$A:$V,6,FALSE),"")</f>
        <v/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 ht="24" customHeight="1">
      <c r="A150" s="2" t="n"/>
      <c r="B150" s="2" t="n"/>
      <c r="C150" s="2">
        <f>IFERROR(VLOOKUP(B150,Usuarios!$A:$V,2,FALSE)&amp;" "&amp;VLOOKUP(B150,Usuarios!$A:$V,3,FALSE),"")</f>
        <v/>
      </c>
      <c r="D150" s="2">
        <f>IFERROR(VLOOKUP(B150,Usuarios!$A:$V,6,FALSE),"")</f>
        <v/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 ht="24" customHeight="1">
      <c r="A151" s="2" t="n"/>
      <c r="B151" s="2" t="n"/>
      <c r="C151" s="2">
        <f>IFERROR(VLOOKUP(B151,Usuarios!$A:$V,2,FALSE)&amp;" "&amp;VLOOKUP(B151,Usuarios!$A:$V,3,FALSE),"")</f>
        <v/>
      </c>
      <c r="D151" s="2">
        <f>IFERROR(VLOOKUP(B151,Usuarios!$A:$V,6,FALSE),"")</f>
        <v/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 ht="24" customHeight="1">
      <c r="A152" s="2" t="n"/>
      <c r="B152" s="2" t="n"/>
      <c r="C152" s="2">
        <f>IFERROR(VLOOKUP(B152,Usuarios!$A:$V,2,FALSE)&amp;" "&amp;VLOOKUP(B152,Usuarios!$A:$V,3,FALSE),"")</f>
        <v/>
      </c>
      <c r="D152" s="2">
        <f>IFERROR(VLOOKUP(B152,Usuarios!$A:$V,6,FALSE),"")</f>
        <v/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 ht="24" customHeight="1">
      <c r="A153" s="2" t="n"/>
      <c r="B153" s="2" t="n"/>
      <c r="C153" s="2">
        <f>IFERROR(VLOOKUP(B153,Usuarios!$A:$V,2,FALSE)&amp;" "&amp;VLOOKUP(B153,Usuarios!$A:$V,3,FALSE),"")</f>
        <v/>
      </c>
      <c r="D153" s="2">
        <f>IFERROR(VLOOKUP(B153,Usuarios!$A:$V,6,FALSE),"")</f>
        <v/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 ht="24" customHeight="1">
      <c r="A154" s="2" t="n"/>
      <c r="B154" s="2" t="n"/>
      <c r="C154" s="2">
        <f>IFERROR(VLOOKUP(B154,Usuarios!$A:$V,2,FALSE)&amp;" "&amp;VLOOKUP(B154,Usuarios!$A:$V,3,FALSE),"")</f>
        <v/>
      </c>
      <c r="D154" s="2">
        <f>IFERROR(VLOOKUP(B154,Usuarios!$A:$V,6,FALSE),"")</f>
        <v/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 ht="24" customHeight="1">
      <c r="A155" s="2" t="n"/>
      <c r="B155" s="2" t="n"/>
      <c r="C155" s="2">
        <f>IFERROR(VLOOKUP(B155,Usuarios!$A:$V,2,FALSE)&amp;" "&amp;VLOOKUP(B155,Usuarios!$A:$V,3,FALSE),"")</f>
        <v/>
      </c>
      <c r="D155" s="2">
        <f>IFERROR(VLOOKUP(B155,Usuarios!$A:$V,6,FALSE),"")</f>
        <v/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 ht="24" customHeight="1">
      <c r="A156" s="2" t="n"/>
      <c r="B156" s="2" t="n"/>
      <c r="C156" s="2">
        <f>IFERROR(VLOOKUP(B156,Usuarios!$A:$V,2,FALSE)&amp;" "&amp;VLOOKUP(B156,Usuarios!$A:$V,3,FALSE),"")</f>
        <v/>
      </c>
      <c r="D156" s="2">
        <f>IFERROR(VLOOKUP(B156,Usuarios!$A:$V,6,FALSE),"")</f>
        <v/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 ht="24" customHeight="1">
      <c r="A157" s="2" t="n"/>
      <c r="B157" s="2" t="n"/>
      <c r="C157" s="2">
        <f>IFERROR(VLOOKUP(B157,Usuarios!$A:$V,2,FALSE)&amp;" "&amp;VLOOKUP(B157,Usuarios!$A:$V,3,FALSE),"")</f>
        <v/>
      </c>
      <c r="D157" s="2">
        <f>IFERROR(VLOOKUP(B157,Usuarios!$A:$V,6,FALSE),"")</f>
        <v/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 ht="24" customHeight="1">
      <c r="A158" s="2" t="n"/>
      <c r="B158" s="2" t="n"/>
      <c r="C158" s="2">
        <f>IFERROR(VLOOKUP(B158,Usuarios!$A:$V,2,FALSE)&amp;" "&amp;VLOOKUP(B158,Usuarios!$A:$V,3,FALSE),"")</f>
        <v/>
      </c>
      <c r="D158" s="2">
        <f>IFERROR(VLOOKUP(B158,Usuarios!$A:$V,6,FALSE),"")</f>
        <v/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 ht="24" customHeight="1">
      <c r="A159" s="2" t="n"/>
      <c r="B159" s="2" t="n"/>
      <c r="C159" s="2">
        <f>IFERROR(VLOOKUP(B159,Usuarios!$A:$V,2,FALSE)&amp;" "&amp;VLOOKUP(B159,Usuarios!$A:$V,3,FALSE),"")</f>
        <v/>
      </c>
      <c r="D159" s="2">
        <f>IFERROR(VLOOKUP(B159,Usuarios!$A:$V,6,FALSE),"")</f>
        <v/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 ht="24" customHeight="1">
      <c r="A160" s="2" t="n"/>
      <c r="B160" s="2" t="n"/>
      <c r="C160" s="2">
        <f>IFERROR(VLOOKUP(B160,Usuarios!$A:$V,2,FALSE)&amp;" "&amp;VLOOKUP(B160,Usuarios!$A:$V,3,FALSE),"")</f>
        <v/>
      </c>
      <c r="D160" s="2">
        <f>IFERROR(VLOOKUP(B160,Usuarios!$A:$V,6,FALSE),"")</f>
        <v/>
      </c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 ht="24" customHeight="1">
      <c r="A161" s="2" t="n"/>
      <c r="B161" s="2" t="n"/>
      <c r="C161" s="2">
        <f>IFERROR(VLOOKUP(B161,Usuarios!$A:$V,2,FALSE)&amp;" "&amp;VLOOKUP(B161,Usuarios!$A:$V,3,FALSE),"")</f>
        <v/>
      </c>
      <c r="D161" s="2">
        <f>IFERROR(VLOOKUP(B161,Usuarios!$A:$V,6,FALSE),"")</f>
        <v/>
      </c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 ht="24" customHeight="1">
      <c r="A162" s="2" t="n"/>
      <c r="B162" s="2" t="n"/>
      <c r="C162" s="2">
        <f>IFERROR(VLOOKUP(B162,Usuarios!$A:$V,2,FALSE)&amp;" "&amp;VLOOKUP(B162,Usuarios!$A:$V,3,FALSE),"")</f>
        <v/>
      </c>
      <c r="D162" s="2">
        <f>IFERROR(VLOOKUP(B162,Usuarios!$A:$V,6,FALSE),"")</f>
        <v/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 ht="24" customHeight="1">
      <c r="A163" s="2" t="n"/>
      <c r="B163" s="2" t="n"/>
      <c r="C163" s="2">
        <f>IFERROR(VLOOKUP(B163,Usuarios!$A:$V,2,FALSE)&amp;" "&amp;VLOOKUP(B163,Usuarios!$A:$V,3,FALSE),"")</f>
        <v/>
      </c>
      <c r="D163" s="2">
        <f>IFERROR(VLOOKUP(B163,Usuarios!$A:$V,6,FALSE),"")</f>
        <v/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 ht="24" customHeight="1">
      <c r="A164" s="2" t="n"/>
      <c r="B164" s="2" t="n"/>
      <c r="C164" s="2">
        <f>IFERROR(VLOOKUP(B164,Usuarios!$A:$V,2,FALSE)&amp;" "&amp;VLOOKUP(B164,Usuarios!$A:$V,3,FALSE),"")</f>
        <v/>
      </c>
      <c r="D164" s="2">
        <f>IFERROR(VLOOKUP(B164,Usuarios!$A:$V,6,FALSE),"")</f>
        <v/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 ht="24" customHeight="1">
      <c r="A165" s="2" t="n"/>
      <c r="B165" s="2" t="n"/>
      <c r="C165" s="2">
        <f>IFERROR(VLOOKUP(B165,Usuarios!$A:$V,2,FALSE)&amp;" "&amp;VLOOKUP(B165,Usuarios!$A:$V,3,FALSE),"")</f>
        <v/>
      </c>
      <c r="D165" s="2">
        <f>IFERROR(VLOOKUP(B165,Usuarios!$A:$V,6,FALSE),"")</f>
        <v/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 ht="24" customHeight="1">
      <c r="A166" s="2" t="n"/>
      <c r="B166" s="2" t="n"/>
      <c r="C166" s="2">
        <f>IFERROR(VLOOKUP(B166,Usuarios!$A:$V,2,FALSE)&amp;" "&amp;VLOOKUP(B166,Usuarios!$A:$V,3,FALSE),"")</f>
        <v/>
      </c>
      <c r="D166" s="2">
        <f>IFERROR(VLOOKUP(B166,Usuarios!$A:$V,6,FALSE),"")</f>
        <v/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 ht="24" customHeight="1">
      <c r="A167" s="2" t="n"/>
      <c r="B167" s="2" t="n"/>
      <c r="C167" s="2">
        <f>IFERROR(VLOOKUP(B167,Usuarios!$A:$V,2,FALSE)&amp;" "&amp;VLOOKUP(B167,Usuarios!$A:$V,3,FALSE),"")</f>
        <v/>
      </c>
      <c r="D167" s="2">
        <f>IFERROR(VLOOKUP(B167,Usuarios!$A:$V,6,FALSE),"")</f>
        <v/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 ht="24" customHeight="1">
      <c r="A168" s="2" t="n"/>
      <c r="B168" s="2" t="n"/>
      <c r="C168" s="2">
        <f>IFERROR(VLOOKUP(B168,Usuarios!$A:$V,2,FALSE)&amp;" "&amp;VLOOKUP(B168,Usuarios!$A:$V,3,FALSE),"")</f>
        <v/>
      </c>
      <c r="D168" s="2">
        <f>IFERROR(VLOOKUP(B168,Usuarios!$A:$V,6,FALSE),"")</f>
        <v/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 ht="24" customHeight="1">
      <c r="A169" s="2" t="n"/>
      <c r="B169" s="2" t="n"/>
      <c r="C169" s="2">
        <f>IFERROR(VLOOKUP(B169,Usuarios!$A:$V,2,FALSE)&amp;" "&amp;VLOOKUP(B169,Usuarios!$A:$V,3,FALSE),"")</f>
        <v/>
      </c>
      <c r="D169" s="2">
        <f>IFERROR(VLOOKUP(B169,Usuarios!$A:$V,6,FALSE),"")</f>
        <v/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 ht="24" customHeight="1">
      <c r="A170" s="2" t="n"/>
      <c r="B170" s="2" t="n"/>
      <c r="C170" s="2">
        <f>IFERROR(VLOOKUP(B170,Usuarios!$A:$V,2,FALSE)&amp;" "&amp;VLOOKUP(B170,Usuarios!$A:$V,3,FALSE),"")</f>
        <v/>
      </c>
      <c r="D170" s="2">
        <f>IFERROR(VLOOKUP(B170,Usuarios!$A:$V,6,FALSE),"")</f>
        <v/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 ht="24" customHeight="1">
      <c r="A171" s="2" t="n"/>
      <c r="B171" s="2" t="n"/>
      <c r="C171" s="2">
        <f>IFERROR(VLOOKUP(B171,Usuarios!$A:$V,2,FALSE)&amp;" "&amp;VLOOKUP(B171,Usuarios!$A:$V,3,FALSE),"")</f>
        <v/>
      </c>
      <c r="D171" s="2">
        <f>IFERROR(VLOOKUP(B171,Usuarios!$A:$V,6,FALSE),"")</f>
        <v/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 ht="24" customHeight="1">
      <c r="A172" s="2" t="n"/>
      <c r="B172" s="2" t="n"/>
      <c r="C172" s="2">
        <f>IFERROR(VLOOKUP(B172,Usuarios!$A:$V,2,FALSE)&amp;" "&amp;VLOOKUP(B172,Usuarios!$A:$V,3,FALSE),"")</f>
        <v/>
      </c>
      <c r="D172" s="2">
        <f>IFERROR(VLOOKUP(B172,Usuarios!$A:$V,6,FALSE),"")</f>
        <v/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 ht="24" customHeight="1">
      <c r="A173" s="2" t="n"/>
      <c r="B173" s="2" t="n"/>
      <c r="C173" s="2">
        <f>IFERROR(VLOOKUP(B173,Usuarios!$A:$V,2,FALSE)&amp;" "&amp;VLOOKUP(B173,Usuarios!$A:$V,3,FALSE),"")</f>
        <v/>
      </c>
      <c r="D173" s="2">
        <f>IFERROR(VLOOKUP(B173,Usuarios!$A:$V,6,FALSE),"")</f>
        <v/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 ht="24" customHeight="1">
      <c r="A174" s="2" t="n"/>
      <c r="B174" s="2" t="n"/>
      <c r="C174" s="2">
        <f>IFERROR(VLOOKUP(B174,Usuarios!$A:$V,2,FALSE)&amp;" "&amp;VLOOKUP(B174,Usuarios!$A:$V,3,FALSE),"")</f>
        <v/>
      </c>
      <c r="D174" s="2">
        <f>IFERROR(VLOOKUP(B174,Usuarios!$A:$V,6,FALSE),"")</f>
        <v/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 ht="24" customHeight="1">
      <c r="A175" s="2" t="n"/>
      <c r="B175" s="2" t="n"/>
      <c r="C175" s="2">
        <f>IFERROR(VLOOKUP(B175,Usuarios!$A:$V,2,FALSE)&amp;" "&amp;VLOOKUP(B175,Usuarios!$A:$V,3,FALSE),"")</f>
        <v/>
      </c>
      <c r="D175" s="2">
        <f>IFERROR(VLOOKUP(B175,Usuarios!$A:$V,6,FALSE),"")</f>
        <v/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 ht="24" customHeight="1">
      <c r="A176" s="2" t="n"/>
      <c r="B176" s="2" t="n"/>
      <c r="C176" s="2">
        <f>IFERROR(VLOOKUP(B176,Usuarios!$A:$V,2,FALSE)&amp;" "&amp;VLOOKUP(B176,Usuarios!$A:$V,3,FALSE),"")</f>
        <v/>
      </c>
      <c r="D176" s="2">
        <f>IFERROR(VLOOKUP(B176,Usuarios!$A:$V,6,FALSE),"")</f>
        <v/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 ht="24" customHeight="1">
      <c r="A177" s="2" t="n"/>
      <c r="B177" s="2" t="n"/>
      <c r="C177" s="2">
        <f>IFERROR(VLOOKUP(B177,Usuarios!$A:$V,2,FALSE)&amp;" "&amp;VLOOKUP(B177,Usuarios!$A:$V,3,FALSE),"")</f>
        <v/>
      </c>
      <c r="D177" s="2">
        <f>IFERROR(VLOOKUP(B177,Usuarios!$A:$V,6,FALSE),"")</f>
        <v/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 ht="24" customHeight="1">
      <c r="A178" s="2" t="n"/>
      <c r="B178" s="2" t="n"/>
      <c r="C178" s="2">
        <f>IFERROR(VLOOKUP(B178,Usuarios!$A:$V,2,FALSE)&amp;" "&amp;VLOOKUP(B178,Usuarios!$A:$V,3,FALSE),"")</f>
        <v/>
      </c>
      <c r="D178" s="2">
        <f>IFERROR(VLOOKUP(B178,Usuarios!$A:$V,6,FALSE),"")</f>
        <v/>
      </c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 ht="24" customHeight="1">
      <c r="A179" s="2" t="n"/>
      <c r="B179" s="2" t="n"/>
      <c r="C179" s="2">
        <f>IFERROR(VLOOKUP(B179,Usuarios!$A:$V,2,FALSE)&amp;" "&amp;VLOOKUP(B179,Usuarios!$A:$V,3,FALSE),"")</f>
        <v/>
      </c>
      <c r="D179" s="2">
        <f>IFERROR(VLOOKUP(B179,Usuarios!$A:$V,6,FALSE),"")</f>
        <v/>
      </c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 ht="24" customHeight="1">
      <c r="A180" s="2" t="n"/>
      <c r="B180" s="2" t="n"/>
      <c r="C180" s="2">
        <f>IFERROR(VLOOKUP(B180,Usuarios!$A:$V,2,FALSE)&amp;" "&amp;VLOOKUP(B180,Usuarios!$A:$V,3,FALSE),"")</f>
        <v/>
      </c>
      <c r="D180" s="2">
        <f>IFERROR(VLOOKUP(B180,Usuarios!$A:$V,6,FALSE),"")</f>
        <v/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 ht="24" customHeight="1">
      <c r="A181" s="2" t="n"/>
      <c r="B181" s="2" t="n"/>
      <c r="C181" s="2">
        <f>IFERROR(VLOOKUP(B181,Usuarios!$A:$V,2,FALSE)&amp;" "&amp;VLOOKUP(B181,Usuarios!$A:$V,3,FALSE),"")</f>
        <v/>
      </c>
      <c r="D181" s="2">
        <f>IFERROR(VLOOKUP(B181,Usuarios!$A:$V,6,FALSE),"")</f>
        <v/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 ht="24" customHeight="1">
      <c r="A182" s="2" t="n"/>
      <c r="B182" s="2" t="n"/>
      <c r="C182" s="2">
        <f>IFERROR(VLOOKUP(B182,Usuarios!$A:$V,2,FALSE)&amp;" "&amp;VLOOKUP(B182,Usuarios!$A:$V,3,FALSE),"")</f>
        <v/>
      </c>
      <c r="D182" s="2">
        <f>IFERROR(VLOOKUP(B182,Usuarios!$A:$V,6,FALSE),"")</f>
        <v/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 ht="24" customHeight="1">
      <c r="A183" s="2" t="n"/>
      <c r="B183" s="2" t="n"/>
      <c r="C183" s="2">
        <f>IFERROR(VLOOKUP(B183,Usuarios!$A:$V,2,FALSE)&amp;" "&amp;VLOOKUP(B183,Usuarios!$A:$V,3,FALSE),"")</f>
        <v/>
      </c>
      <c r="D183" s="2">
        <f>IFERROR(VLOOKUP(B183,Usuarios!$A:$V,6,FALSE),"")</f>
        <v/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 ht="24" customHeight="1">
      <c r="A184" s="2" t="n"/>
      <c r="B184" s="2" t="n"/>
      <c r="C184" s="2">
        <f>IFERROR(VLOOKUP(B184,Usuarios!$A:$V,2,FALSE)&amp;" "&amp;VLOOKUP(B184,Usuarios!$A:$V,3,FALSE),"")</f>
        <v/>
      </c>
      <c r="D184" s="2">
        <f>IFERROR(VLOOKUP(B184,Usuarios!$A:$V,6,FALSE),"")</f>
        <v/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 ht="24" customHeight="1">
      <c r="A185" s="2" t="n"/>
      <c r="B185" s="2" t="n"/>
      <c r="C185" s="2">
        <f>IFERROR(VLOOKUP(B185,Usuarios!$A:$V,2,FALSE)&amp;" "&amp;VLOOKUP(B185,Usuarios!$A:$V,3,FALSE),"")</f>
        <v/>
      </c>
      <c r="D185" s="2">
        <f>IFERROR(VLOOKUP(B185,Usuarios!$A:$V,6,FALSE),"")</f>
        <v/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 ht="24" customHeight="1">
      <c r="A186" s="2" t="n"/>
      <c r="B186" s="2" t="n"/>
      <c r="C186" s="2">
        <f>IFERROR(VLOOKUP(B186,Usuarios!$A:$V,2,FALSE)&amp;" "&amp;VLOOKUP(B186,Usuarios!$A:$V,3,FALSE),"")</f>
        <v/>
      </c>
      <c r="D186" s="2">
        <f>IFERROR(VLOOKUP(B186,Usuarios!$A:$V,6,FALSE),"")</f>
        <v/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 ht="24" customHeight="1">
      <c r="A187" s="2" t="n"/>
      <c r="B187" s="2" t="n"/>
      <c r="C187" s="2">
        <f>IFERROR(VLOOKUP(B187,Usuarios!$A:$V,2,FALSE)&amp;" "&amp;VLOOKUP(B187,Usuarios!$A:$V,3,FALSE),"")</f>
        <v/>
      </c>
      <c r="D187" s="2">
        <f>IFERROR(VLOOKUP(B187,Usuarios!$A:$V,6,FALSE),"")</f>
        <v/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 ht="24" customHeight="1">
      <c r="A188" s="2" t="n"/>
      <c r="B188" s="2" t="n"/>
      <c r="C188" s="2">
        <f>IFERROR(VLOOKUP(B188,Usuarios!$A:$V,2,FALSE)&amp;" "&amp;VLOOKUP(B188,Usuarios!$A:$V,3,FALSE),"")</f>
        <v/>
      </c>
      <c r="D188" s="2">
        <f>IFERROR(VLOOKUP(B188,Usuarios!$A:$V,6,FALSE),"")</f>
        <v/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 ht="24" customHeight="1">
      <c r="A189" s="2" t="n"/>
      <c r="B189" s="2" t="n"/>
      <c r="C189" s="2">
        <f>IFERROR(VLOOKUP(B189,Usuarios!$A:$V,2,FALSE)&amp;" "&amp;VLOOKUP(B189,Usuarios!$A:$V,3,FALSE),"")</f>
        <v/>
      </c>
      <c r="D189" s="2">
        <f>IFERROR(VLOOKUP(B189,Usuarios!$A:$V,6,FALSE),"")</f>
        <v/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 ht="24" customHeight="1">
      <c r="A190" s="2" t="n"/>
      <c r="B190" s="2" t="n"/>
      <c r="C190" s="2">
        <f>IFERROR(VLOOKUP(B190,Usuarios!$A:$V,2,FALSE)&amp;" "&amp;VLOOKUP(B190,Usuarios!$A:$V,3,FALSE),"")</f>
        <v/>
      </c>
      <c r="D190" s="2">
        <f>IFERROR(VLOOKUP(B190,Usuarios!$A:$V,6,FALSE),"")</f>
        <v/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 ht="24" customHeight="1">
      <c r="A191" s="2" t="n"/>
      <c r="B191" s="2" t="n"/>
      <c r="C191" s="2">
        <f>IFERROR(VLOOKUP(B191,Usuarios!$A:$V,2,FALSE)&amp;" "&amp;VLOOKUP(B191,Usuarios!$A:$V,3,FALSE),"")</f>
        <v/>
      </c>
      <c r="D191" s="2">
        <f>IFERROR(VLOOKUP(B191,Usuarios!$A:$V,6,FALSE),"")</f>
        <v/>
      </c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 ht="24" customHeight="1">
      <c r="A192" s="2" t="n"/>
      <c r="B192" s="2" t="n"/>
      <c r="C192" s="2">
        <f>IFERROR(VLOOKUP(B192,Usuarios!$A:$V,2,FALSE)&amp;" "&amp;VLOOKUP(B192,Usuarios!$A:$V,3,FALSE),"")</f>
        <v/>
      </c>
      <c r="D192" s="2">
        <f>IFERROR(VLOOKUP(B192,Usuarios!$A:$V,6,FALSE),"")</f>
        <v/>
      </c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 ht="24" customHeight="1">
      <c r="A193" s="2" t="n"/>
      <c r="B193" s="2" t="n"/>
      <c r="C193" s="2">
        <f>IFERROR(VLOOKUP(B193,Usuarios!$A:$V,2,FALSE)&amp;" "&amp;VLOOKUP(B193,Usuarios!$A:$V,3,FALSE),"")</f>
        <v/>
      </c>
      <c r="D193" s="2">
        <f>IFERROR(VLOOKUP(B193,Usuarios!$A:$V,6,FALSE),"")</f>
        <v/>
      </c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 ht="24" customHeight="1">
      <c r="A194" s="2" t="n"/>
      <c r="B194" s="2" t="n"/>
      <c r="C194" s="2">
        <f>IFERROR(VLOOKUP(B194,Usuarios!$A:$V,2,FALSE)&amp;" "&amp;VLOOKUP(B194,Usuarios!$A:$V,3,FALSE),"")</f>
        <v/>
      </c>
      <c r="D194" s="2">
        <f>IFERROR(VLOOKUP(B194,Usuarios!$A:$V,6,FALSE),"")</f>
        <v/>
      </c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 ht="24" customHeight="1">
      <c r="A195" s="2" t="n"/>
      <c r="B195" s="2" t="n"/>
      <c r="C195" s="2">
        <f>IFERROR(VLOOKUP(B195,Usuarios!$A:$V,2,FALSE)&amp;" "&amp;VLOOKUP(B195,Usuarios!$A:$V,3,FALSE),"")</f>
        <v/>
      </c>
      <c r="D195" s="2">
        <f>IFERROR(VLOOKUP(B195,Usuarios!$A:$V,6,FALSE),"")</f>
        <v/>
      </c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 ht="24" customHeight="1">
      <c r="A196" s="2" t="n"/>
      <c r="B196" s="2" t="n"/>
      <c r="C196" s="2">
        <f>IFERROR(VLOOKUP(B196,Usuarios!$A:$V,2,FALSE)&amp;" "&amp;VLOOKUP(B196,Usuarios!$A:$V,3,FALSE),"")</f>
        <v/>
      </c>
      <c r="D196" s="2">
        <f>IFERROR(VLOOKUP(B196,Usuarios!$A:$V,6,FALSE),"")</f>
        <v/>
      </c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 ht="24" customHeight="1">
      <c r="A197" s="2" t="n"/>
      <c r="B197" s="2" t="n"/>
      <c r="C197" s="2">
        <f>IFERROR(VLOOKUP(B197,Usuarios!$A:$V,2,FALSE)&amp;" "&amp;VLOOKUP(B197,Usuarios!$A:$V,3,FALSE),"")</f>
        <v/>
      </c>
      <c r="D197" s="2">
        <f>IFERROR(VLOOKUP(B197,Usuarios!$A:$V,6,FALSE),"")</f>
        <v/>
      </c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 ht="24" customHeight="1">
      <c r="A198" s="2" t="n"/>
      <c r="B198" s="2" t="n"/>
      <c r="C198" s="2">
        <f>IFERROR(VLOOKUP(B198,Usuarios!$A:$V,2,FALSE)&amp;" "&amp;VLOOKUP(B198,Usuarios!$A:$V,3,FALSE),"")</f>
        <v/>
      </c>
      <c r="D198" s="2">
        <f>IFERROR(VLOOKUP(B198,Usuarios!$A:$V,6,FALSE),"")</f>
        <v/>
      </c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 ht="24" customHeight="1">
      <c r="A199" s="2" t="n"/>
      <c r="B199" s="2" t="n"/>
      <c r="C199" s="2">
        <f>IFERROR(VLOOKUP(B199,Usuarios!$A:$V,2,FALSE)&amp;" "&amp;VLOOKUP(B199,Usuarios!$A:$V,3,FALSE),"")</f>
        <v/>
      </c>
      <c r="D199" s="2">
        <f>IFERROR(VLOOKUP(B199,Usuarios!$A:$V,6,FALSE),"")</f>
        <v/>
      </c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 ht="24" customHeight="1">
      <c r="A200" s="2" t="n"/>
      <c r="B200" s="2" t="n"/>
      <c r="C200" s="2">
        <f>IFERROR(VLOOKUP(B200,Usuarios!$A:$V,2,FALSE)&amp;" "&amp;VLOOKUP(B200,Usuarios!$A:$V,3,FALSE),"")</f>
        <v/>
      </c>
      <c r="D200" s="2">
        <f>IFERROR(VLOOKUP(B200,Usuarios!$A:$V,6,FALSE),"")</f>
        <v/>
      </c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 ht="24" customHeight="1">
      <c r="A201" s="2" t="n"/>
      <c r="B201" s="2" t="n"/>
      <c r="C201" s="2">
        <f>IFERROR(VLOOKUP(B201,Usuarios!$A:$V,2,FALSE)&amp;" "&amp;VLOOKUP(B201,Usuarios!$A:$V,3,FALSE),"")</f>
        <v/>
      </c>
      <c r="D201" s="2">
        <f>IFERROR(VLOOKUP(B201,Usuarios!$A:$V,6,FALSE),"")</f>
        <v/>
      </c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>
        <f>IFERROR(VLOOKUP(B202,Usuarios!$A:$V,2,FALSE)&amp;" "&amp;VLOOKUP(B202,Usuarios!$A:$V,3,FALSE),"")</f>
        <v/>
      </c>
      <c r="D202" s="2">
        <f>IFERROR(VLOOKUP(B202,Usuarios!$A:$V,6,FALSE),"")</f>
        <v/>
      </c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>
        <f>IFERROR(VLOOKUP(B203,Usuarios!$A:$V,2,FALSE)&amp;" "&amp;VLOOKUP(B203,Usuarios!$A:$V,3,FALSE),"")</f>
        <v/>
      </c>
      <c r="D203" s="2">
        <f>IFERROR(VLOOKUP(B203,Usuarios!$A:$V,6,FALSE),"")</f>
        <v/>
      </c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>
        <f>IFERROR(VLOOKUP(B204,Usuarios!$A:$V,2,FALSE)&amp;" "&amp;VLOOKUP(B204,Usuarios!$A:$V,3,FALSE),"")</f>
        <v/>
      </c>
      <c r="D204" s="2">
        <f>IFERROR(VLOOKUP(B204,Usuarios!$A:$V,6,FALSE),"")</f>
        <v/>
      </c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>
        <f>IFERROR(VLOOKUP(B205,Usuarios!$A:$V,2,FALSE)&amp;" "&amp;VLOOKUP(B205,Usuarios!$A:$V,3,FALSE),"")</f>
        <v/>
      </c>
      <c r="D205" s="2">
        <f>IFERROR(VLOOKUP(B205,Usuarios!$A:$V,6,FALSE),"")</f>
        <v/>
      </c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>
        <f>IFERROR(VLOOKUP(B206,Usuarios!$A:$V,2,FALSE)&amp;" "&amp;VLOOKUP(B206,Usuarios!$A:$V,3,FALSE),"")</f>
        <v/>
      </c>
      <c r="D206" s="2">
        <f>IFERROR(VLOOKUP(B206,Usuarios!$A:$V,6,FALSE),"")</f>
        <v/>
      </c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>
        <f>IFERROR(VLOOKUP(B207,Usuarios!$A:$V,2,FALSE)&amp;" "&amp;VLOOKUP(B207,Usuarios!$A:$V,3,FALSE),"")</f>
        <v/>
      </c>
      <c r="D207" s="2">
        <f>IFERROR(VLOOKUP(B207,Usuarios!$A:$V,6,FALSE),"")</f>
        <v/>
      </c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>
        <f>IFERROR(VLOOKUP(B208,Usuarios!$A:$V,2,FALSE)&amp;" "&amp;VLOOKUP(B208,Usuarios!$A:$V,3,FALSE),"")</f>
        <v/>
      </c>
      <c r="D208" s="2">
        <f>IFERROR(VLOOKUP(B208,Usuarios!$A:$V,6,FALSE),"")</f>
        <v/>
      </c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>
        <f>IFERROR(VLOOKUP(B209,Usuarios!$A:$V,2,FALSE)&amp;" "&amp;VLOOKUP(B209,Usuarios!$A:$V,3,FALSE),"")</f>
        <v/>
      </c>
      <c r="D209" s="2">
        <f>IFERROR(VLOOKUP(B209,Usuarios!$A:$V,6,FALSE),"")</f>
        <v/>
      </c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>
        <f>IFERROR(VLOOKUP(B210,Usuarios!$A:$V,2,FALSE)&amp;" "&amp;VLOOKUP(B210,Usuarios!$A:$V,3,FALSE),"")</f>
        <v/>
      </c>
      <c r="D210" s="2">
        <f>IFERROR(VLOOKUP(B210,Usuarios!$A:$V,6,FALSE),"")</f>
        <v/>
      </c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>
        <f>IFERROR(VLOOKUP(B211,Usuarios!$A:$V,2,FALSE)&amp;" "&amp;VLOOKUP(B211,Usuarios!$A:$V,3,FALSE),"")</f>
        <v/>
      </c>
      <c r="D211" s="2">
        <f>IFERROR(VLOOKUP(B211,Usuarios!$A:$V,6,FALSE),"")</f>
        <v/>
      </c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>
        <f>IFERROR(VLOOKUP(B212,Usuarios!$A:$V,2,FALSE)&amp;" "&amp;VLOOKUP(B212,Usuarios!$A:$V,3,FALSE),"")</f>
        <v/>
      </c>
      <c r="D212" s="2">
        <f>IFERROR(VLOOKUP(B212,Usuarios!$A:$V,6,FALSE),"")</f>
        <v/>
      </c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>
        <f>IFERROR(VLOOKUP(B213,Usuarios!$A:$V,2,FALSE)&amp;" "&amp;VLOOKUP(B213,Usuarios!$A:$V,3,FALSE),"")</f>
        <v/>
      </c>
      <c r="D213" s="2">
        <f>IFERROR(VLOOKUP(B213,Usuarios!$A:$V,6,FALSE),"")</f>
        <v/>
      </c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>
        <f>IFERROR(VLOOKUP(B214,Usuarios!$A:$V,2,FALSE)&amp;" "&amp;VLOOKUP(B214,Usuarios!$A:$V,3,FALSE),"")</f>
        <v/>
      </c>
      <c r="D214" s="2">
        <f>IFERROR(VLOOKUP(B214,Usuarios!$A:$V,6,FALSE),"")</f>
        <v/>
      </c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>
        <f>IFERROR(VLOOKUP(B215,Usuarios!$A:$V,2,FALSE)&amp;" "&amp;VLOOKUP(B215,Usuarios!$A:$V,3,FALSE),"")</f>
        <v/>
      </c>
      <c r="D215" s="2">
        <f>IFERROR(VLOOKUP(B215,Usuarios!$A:$V,6,FALSE),"")</f>
        <v/>
      </c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>
        <f>IFERROR(VLOOKUP(B216,Usuarios!$A:$V,2,FALSE)&amp;" "&amp;VLOOKUP(B216,Usuarios!$A:$V,3,FALSE),"")</f>
        <v/>
      </c>
      <c r="D216" s="2">
        <f>IFERROR(VLOOKUP(B216,Usuarios!$A:$V,6,FALSE),"")</f>
        <v/>
      </c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>
        <f>IFERROR(VLOOKUP(B217,Usuarios!$A:$V,2,FALSE)&amp;" "&amp;VLOOKUP(B217,Usuarios!$A:$V,3,FALSE),"")</f>
        <v/>
      </c>
      <c r="D217" s="2">
        <f>IFERROR(VLOOKUP(B217,Usuarios!$A:$V,6,FALSE),"")</f>
        <v/>
      </c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>
        <f>IFERROR(VLOOKUP(B218,Usuarios!$A:$V,2,FALSE)&amp;" "&amp;VLOOKUP(B218,Usuarios!$A:$V,3,FALSE),"")</f>
        <v/>
      </c>
      <c r="D218" s="2">
        <f>IFERROR(VLOOKUP(B218,Usuarios!$A:$V,6,FALSE),"")</f>
        <v/>
      </c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>
        <f>IFERROR(VLOOKUP(B219,Usuarios!$A:$V,2,FALSE)&amp;" "&amp;VLOOKUP(B219,Usuarios!$A:$V,3,FALSE),"")</f>
        <v/>
      </c>
      <c r="D219" s="2">
        <f>IFERROR(VLOOKUP(B219,Usuarios!$A:$V,6,FALSE),"")</f>
        <v/>
      </c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>
        <f>IFERROR(VLOOKUP(B220,Usuarios!$A:$V,2,FALSE)&amp;" "&amp;VLOOKUP(B220,Usuarios!$A:$V,3,FALSE),"")</f>
        <v/>
      </c>
      <c r="D220" s="2">
        <f>IFERROR(VLOOKUP(B220,Usuarios!$A:$V,6,FALSE),"")</f>
        <v/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>
        <f>IFERROR(VLOOKUP(B221,Usuarios!$A:$V,2,FALSE)&amp;" "&amp;VLOOKUP(B221,Usuarios!$A:$V,3,FALSE),"")</f>
        <v/>
      </c>
      <c r="D221" s="2">
        <f>IFERROR(VLOOKUP(B221,Usuarios!$A:$V,6,FALSE),"")</f>
        <v/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>
        <f>IFERROR(VLOOKUP(B222,Usuarios!$A:$V,2,FALSE)&amp;" "&amp;VLOOKUP(B222,Usuarios!$A:$V,3,FALSE),"")</f>
        <v/>
      </c>
      <c r="D222" s="2">
        <f>IFERROR(VLOOKUP(B222,Usuarios!$A:$V,6,FALSE),"")</f>
        <v/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>
        <f>IFERROR(VLOOKUP(B223,Usuarios!$A:$V,2,FALSE)&amp;" "&amp;VLOOKUP(B223,Usuarios!$A:$V,3,FALSE),"")</f>
        <v/>
      </c>
      <c r="D223" s="2">
        <f>IFERROR(VLOOKUP(B223,Usuarios!$A:$V,6,FALSE),"")</f>
        <v/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>
        <f>IFERROR(VLOOKUP(B224,Usuarios!$A:$V,2,FALSE)&amp;" "&amp;VLOOKUP(B224,Usuarios!$A:$V,3,FALSE),"")</f>
        <v/>
      </c>
      <c r="D224" s="2">
        <f>IFERROR(VLOOKUP(B224,Usuarios!$A:$V,6,FALSE),"")</f>
        <v/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>
        <f>IFERROR(VLOOKUP(B225,Usuarios!$A:$V,2,FALSE)&amp;" "&amp;VLOOKUP(B225,Usuarios!$A:$V,3,FALSE),"")</f>
        <v/>
      </c>
      <c r="D225" s="2">
        <f>IFERROR(VLOOKUP(B225,Usuarios!$A:$V,6,FALSE),"")</f>
        <v/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>
        <f>IFERROR(VLOOKUP(B226,Usuarios!$A:$V,2,FALSE)&amp;" "&amp;VLOOKUP(B226,Usuarios!$A:$V,3,FALSE),"")</f>
        <v/>
      </c>
      <c r="D226" s="2">
        <f>IFERROR(VLOOKUP(B226,Usuarios!$A:$V,6,FALSE),"")</f>
        <v/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>
        <f>IFERROR(VLOOKUP(B227,Usuarios!$A:$V,2,FALSE)&amp;" "&amp;VLOOKUP(B227,Usuarios!$A:$V,3,FALSE),"")</f>
        <v/>
      </c>
      <c r="D227" s="2">
        <f>IFERROR(VLOOKUP(B227,Usuarios!$A:$V,6,FALSE),"")</f>
        <v/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>
        <f>IFERROR(VLOOKUP(B228,Usuarios!$A:$V,2,FALSE)&amp;" "&amp;VLOOKUP(B228,Usuarios!$A:$V,3,FALSE),"")</f>
        <v/>
      </c>
      <c r="D228" s="2">
        <f>IFERROR(VLOOKUP(B228,Usuarios!$A:$V,6,FALSE),"")</f>
        <v/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>
        <f>IFERROR(VLOOKUP(B229,Usuarios!$A:$V,2,FALSE)&amp;" "&amp;VLOOKUP(B229,Usuarios!$A:$V,3,FALSE),"")</f>
        <v/>
      </c>
      <c r="D229" s="2">
        <f>IFERROR(VLOOKUP(B229,Usuarios!$A:$V,6,FALSE),"")</f>
        <v/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>
        <f>IFERROR(VLOOKUP(B230,Usuarios!$A:$V,2,FALSE)&amp;" "&amp;VLOOKUP(B230,Usuarios!$A:$V,3,FALSE),"")</f>
        <v/>
      </c>
      <c r="D230" s="2">
        <f>IFERROR(VLOOKUP(B230,Usuarios!$A:$V,6,FALSE),"")</f>
        <v/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>
        <f>IFERROR(VLOOKUP(B231,Usuarios!$A:$V,2,FALSE)&amp;" "&amp;VLOOKUP(B231,Usuarios!$A:$V,3,FALSE),"")</f>
        <v/>
      </c>
      <c r="D231" s="2">
        <f>IFERROR(VLOOKUP(B231,Usuarios!$A:$V,6,FALSE),"")</f>
        <v/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>
        <f>IFERROR(VLOOKUP(B232,Usuarios!$A:$V,2,FALSE)&amp;" "&amp;VLOOKUP(B232,Usuarios!$A:$V,3,FALSE),"")</f>
        <v/>
      </c>
      <c r="D232" s="2">
        <f>IFERROR(VLOOKUP(B232,Usuarios!$A:$V,6,FALSE),"")</f>
        <v/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>
        <f>IFERROR(VLOOKUP(B233,Usuarios!$A:$V,2,FALSE)&amp;" "&amp;VLOOKUP(B233,Usuarios!$A:$V,3,FALSE),"")</f>
        <v/>
      </c>
      <c r="D233" s="2">
        <f>IFERROR(VLOOKUP(B233,Usuarios!$A:$V,6,FALSE),"")</f>
        <v/>
      </c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>
        <f>IFERROR(VLOOKUP(B234,Usuarios!$A:$V,2,FALSE)&amp;" "&amp;VLOOKUP(B234,Usuarios!$A:$V,3,FALSE),"")</f>
        <v/>
      </c>
      <c r="D234" s="2">
        <f>IFERROR(VLOOKUP(B234,Usuarios!$A:$V,6,FALSE),"")</f>
        <v/>
      </c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>
        <f>IFERROR(VLOOKUP(B235,Usuarios!$A:$V,2,FALSE)&amp;" "&amp;VLOOKUP(B235,Usuarios!$A:$V,3,FALSE),"")</f>
        <v/>
      </c>
      <c r="D235" s="2">
        <f>IFERROR(VLOOKUP(B235,Usuarios!$A:$V,6,FALSE),"")</f>
        <v/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>
        <f>IFERROR(VLOOKUP(B236,Usuarios!$A:$V,2,FALSE)&amp;" "&amp;VLOOKUP(B236,Usuarios!$A:$V,3,FALSE),"")</f>
        <v/>
      </c>
      <c r="D236" s="2">
        <f>IFERROR(VLOOKUP(B236,Usuarios!$A:$V,6,FALSE),"")</f>
        <v/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>
        <f>IFERROR(VLOOKUP(B237,Usuarios!$A:$V,2,FALSE)&amp;" "&amp;VLOOKUP(B237,Usuarios!$A:$V,3,FALSE),"")</f>
        <v/>
      </c>
      <c r="D237" s="2">
        <f>IFERROR(VLOOKUP(B237,Usuarios!$A:$V,6,FALSE),"")</f>
        <v/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>
        <f>IFERROR(VLOOKUP(B238,Usuarios!$A:$V,2,FALSE)&amp;" "&amp;VLOOKUP(B238,Usuarios!$A:$V,3,FALSE),"")</f>
        <v/>
      </c>
      <c r="D238" s="2">
        <f>IFERROR(VLOOKUP(B238,Usuarios!$A:$V,6,FALSE),"")</f>
        <v/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>
        <f>IFERROR(VLOOKUP(B239,Usuarios!$A:$V,2,FALSE)&amp;" "&amp;VLOOKUP(B239,Usuarios!$A:$V,3,FALSE),"")</f>
        <v/>
      </c>
      <c r="D239" s="2">
        <f>IFERROR(VLOOKUP(B239,Usuarios!$A:$V,6,FALSE),"")</f>
        <v/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>
        <f>IFERROR(VLOOKUP(B240,Usuarios!$A:$V,2,FALSE)&amp;" "&amp;VLOOKUP(B240,Usuarios!$A:$V,3,FALSE),"")</f>
        <v/>
      </c>
      <c r="D240" s="2">
        <f>IFERROR(VLOOKUP(B240,Usuarios!$A:$V,6,FALSE),"")</f>
        <v/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>
        <f>IFERROR(VLOOKUP(B241,Usuarios!$A:$V,2,FALSE)&amp;" "&amp;VLOOKUP(B241,Usuarios!$A:$V,3,FALSE),"")</f>
        <v/>
      </c>
      <c r="D241" s="2">
        <f>IFERROR(VLOOKUP(B241,Usuarios!$A:$V,6,FALSE),"")</f>
        <v/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>
        <f>IFERROR(VLOOKUP(B242,Usuarios!$A:$V,2,FALSE)&amp;" "&amp;VLOOKUP(B242,Usuarios!$A:$V,3,FALSE),"")</f>
        <v/>
      </c>
      <c r="D242" s="2">
        <f>IFERROR(VLOOKUP(B242,Usuarios!$A:$V,6,FALSE),"")</f>
        <v/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>
        <f>IFERROR(VLOOKUP(B243,Usuarios!$A:$V,2,FALSE)&amp;" "&amp;VLOOKUP(B243,Usuarios!$A:$V,3,FALSE),"")</f>
        <v/>
      </c>
      <c r="D243" s="2">
        <f>IFERROR(VLOOKUP(B243,Usuarios!$A:$V,6,FALSE),"")</f>
        <v/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>
        <f>IFERROR(VLOOKUP(B244,Usuarios!$A:$V,2,FALSE)&amp;" "&amp;VLOOKUP(B244,Usuarios!$A:$V,3,FALSE),"")</f>
        <v/>
      </c>
      <c r="D244" s="2">
        <f>IFERROR(VLOOKUP(B244,Usuarios!$A:$V,6,FALSE),"")</f>
        <v/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>
        <f>IFERROR(VLOOKUP(B245,Usuarios!$A:$V,2,FALSE)&amp;" "&amp;VLOOKUP(B245,Usuarios!$A:$V,3,FALSE),"")</f>
        <v/>
      </c>
      <c r="D245" s="2">
        <f>IFERROR(VLOOKUP(B245,Usuarios!$A:$V,6,FALSE),"")</f>
        <v/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>
        <f>IFERROR(VLOOKUP(B246,Usuarios!$A:$V,2,FALSE)&amp;" "&amp;VLOOKUP(B246,Usuarios!$A:$V,3,FALSE),"")</f>
        <v/>
      </c>
      <c r="D246" s="2">
        <f>IFERROR(VLOOKUP(B246,Usuarios!$A:$V,6,FALSE),"")</f>
        <v/>
      </c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>
        <f>IFERROR(VLOOKUP(B247,Usuarios!$A:$V,2,FALSE)&amp;" "&amp;VLOOKUP(B247,Usuarios!$A:$V,3,FALSE),"")</f>
        <v/>
      </c>
      <c r="D247" s="2">
        <f>IFERROR(VLOOKUP(B247,Usuarios!$A:$V,6,FALSE),"")</f>
        <v/>
      </c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>
        <f>IFERROR(VLOOKUP(B248,Usuarios!$A:$V,2,FALSE)&amp;" "&amp;VLOOKUP(B248,Usuarios!$A:$V,3,FALSE),"")</f>
        <v/>
      </c>
      <c r="D248" s="2">
        <f>IFERROR(VLOOKUP(B248,Usuarios!$A:$V,6,FALSE),"")</f>
        <v/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>
        <f>IFERROR(VLOOKUP(B249,Usuarios!$A:$V,2,FALSE)&amp;" "&amp;VLOOKUP(B249,Usuarios!$A:$V,3,FALSE),"")</f>
        <v/>
      </c>
      <c r="D249" s="2">
        <f>IFERROR(VLOOKUP(B249,Usuarios!$A:$V,6,FALSE),"")</f>
        <v/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>
        <f>IFERROR(VLOOKUP(B250,Usuarios!$A:$V,2,FALSE)&amp;" "&amp;VLOOKUP(B250,Usuarios!$A:$V,3,FALSE),"")</f>
        <v/>
      </c>
      <c r="D250" s="2">
        <f>IFERROR(VLOOKUP(B250,Usuarios!$A:$V,6,FALSE),"")</f>
        <v/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>
        <f>IFERROR(VLOOKUP(B251,Usuarios!$A:$V,2,FALSE)&amp;" "&amp;VLOOKUP(B251,Usuarios!$A:$V,3,FALSE),"")</f>
        <v/>
      </c>
      <c r="D251" s="2">
        <f>IFERROR(VLOOKUP(B251,Usuarios!$A:$V,6,FALSE),"")</f>
        <v/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>
        <f>IFERROR(VLOOKUP(B252,Usuarios!$A:$V,2,FALSE)&amp;" "&amp;VLOOKUP(B252,Usuarios!$A:$V,3,FALSE),"")</f>
        <v/>
      </c>
      <c r="D252" s="2">
        <f>IFERROR(VLOOKUP(B252,Usuarios!$A:$V,6,FALSE),"")</f>
        <v/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>
        <f>IFERROR(VLOOKUP(B253,Usuarios!$A:$V,2,FALSE)&amp;" "&amp;VLOOKUP(B253,Usuarios!$A:$V,3,FALSE),"")</f>
        <v/>
      </c>
      <c r="D253" s="2">
        <f>IFERROR(VLOOKUP(B253,Usuarios!$A:$V,6,FALSE),"")</f>
        <v/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>
        <f>IFERROR(VLOOKUP(B254,Usuarios!$A:$V,2,FALSE)&amp;" "&amp;VLOOKUP(B254,Usuarios!$A:$V,3,FALSE),"")</f>
        <v/>
      </c>
      <c r="D254" s="2">
        <f>IFERROR(VLOOKUP(B254,Usuarios!$A:$V,6,FALSE),"")</f>
        <v/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>
        <f>IFERROR(VLOOKUP(B255,Usuarios!$A:$V,2,FALSE)&amp;" "&amp;VLOOKUP(B255,Usuarios!$A:$V,3,FALSE),"")</f>
        <v/>
      </c>
      <c r="D255" s="2">
        <f>IFERROR(VLOOKUP(B255,Usuarios!$A:$V,6,FALSE),"")</f>
        <v/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>
        <f>IFERROR(VLOOKUP(B256,Usuarios!$A:$V,2,FALSE)&amp;" "&amp;VLOOKUP(B256,Usuarios!$A:$V,3,FALSE),"")</f>
        <v/>
      </c>
      <c r="D256" s="2">
        <f>IFERROR(VLOOKUP(B256,Usuarios!$A:$V,6,FALSE),"")</f>
        <v/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>
        <f>IFERROR(VLOOKUP(B257,Usuarios!$A:$V,2,FALSE)&amp;" "&amp;VLOOKUP(B257,Usuarios!$A:$V,3,FALSE),"")</f>
        <v/>
      </c>
      <c r="D257" s="2">
        <f>IFERROR(VLOOKUP(B257,Usuarios!$A:$V,6,FALSE),"")</f>
        <v/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>
        <f>IFERROR(VLOOKUP(B258,Usuarios!$A:$V,2,FALSE)&amp;" "&amp;VLOOKUP(B258,Usuarios!$A:$V,3,FALSE),"")</f>
        <v/>
      </c>
      <c r="D258" s="2">
        <f>IFERROR(VLOOKUP(B258,Usuarios!$A:$V,6,FALSE),"")</f>
        <v/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>
        <f>IFERROR(VLOOKUP(B259,Usuarios!$A:$V,2,FALSE)&amp;" "&amp;VLOOKUP(B259,Usuarios!$A:$V,3,FALSE),"")</f>
        <v/>
      </c>
      <c r="D259" s="2">
        <f>IFERROR(VLOOKUP(B259,Usuarios!$A:$V,6,FALSE),"")</f>
        <v/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>
        <f>IFERROR(VLOOKUP(B260,Usuarios!$A:$V,2,FALSE)&amp;" "&amp;VLOOKUP(B260,Usuarios!$A:$V,3,FALSE),"")</f>
        <v/>
      </c>
      <c r="D260" s="2">
        <f>IFERROR(VLOOKUP(B260,Usuarios!$A:$V,6,FALSE),"")</f>
        <v/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>
        <f>IFERROR(VLOOKUP(B261,Usuarios!$A:$V,2,FALSE)&amp;" "&amp;VLOOKUP(B261,Usuarios!$A:$V,3,FALSE),"")</f>
        <v/>
      </c>
      <c r="D261" s="2">
        <f>IFERROR(VLOOKUP(B261,Usuarios!$A:$V,6,FALSE),"")</f>
        <v/>
      </c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>
        <f>IFERROR(VLOOKUP(B262,Usuarios!$A:$V,2,FALSE)&amp;" "&amp;VLOOKUP(B262,Usuarios!$A:$V,3,FALSE),"")</f>
        <v/>
      </c>
      <c r="D262" s="2">
        <f>IFERROR(VLOOKUP(B262,Usuarios!$A:$V,6,FALSE),"")</f>
        <v/>
      </c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>
        <f>IFERROR(VLOOKUP(B263,Usuarios!$A:$V,2,FALSE)&amp;" "&amp;VLOOKUP(B263,Usuarios!$A:$V,3,FALSE),"")</f>
        <v/>
      </c>
      <c r="D263" s="2">
        <f>IFERROR(VLOOKUP(B263,Usuarios!$A:$V,6,FALSE),"")</f>
        <v/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>
        <f>IFERROR(VLOOKUP(B264,Usuarios!$A:$V,2,FALSE)&amp;" "&amp;VLOOKUP(B264,Usuarios!$A:$V,3,FALSE),"")</f>
        <v/>
      </c>
      <c r="D264" s="2">
        <f>IFERROR(VLOOKUP(B264,Usuarios!$A:$V,6,FALSE),"")</f>
        <v/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>
        <f>IFERROR(VLOOKUP(B265,Usuarios!$A:$V,2,FALSE)&amp;" "&amp;VLOOKUP(B265,Usuarios!$A:$V,3,FALSE),"")</f>
        <v/>
      </c>
      <c r="D265" s="2">
        <f>IFERROR(VLOOKUP(B265,Usuarios!$A:$V,6,FALSE),"")</f>
        <v/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>
        <f>IFERROR(VLOOKUP(B266,Usuarios!$A:$V,2,FALSE)&amp;" "&amp;VLOOKUP(B266,Usuarios!$A:$V,3,FALSE),"")</f>
        <v/>
      </c>
      <c r="D266" s="2">
        <f>IFERROR(VLOOKUP(B266,Usuarios!$A:$V,6,FALSE),"")</f>
        <v/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>
        <f>IFERROR(VLOOKUP(B267,Usuarios!$A:$V,2,FALSE)&amp;" "&amp;VLOOKUP(B267,Usuarios!$A:$V,3,FALSE),"")</f>
        <v/>
      </c>
      <c r="D267" s="2">
        <f>IFERROR(VLOOKUP(B267,Usuarios!$A:$V,6,FALSE),"")</f>
        <v/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>
        <f>IFERROR(VLOOKUP(B268,Usuarios!$A:$V,2,FALSE)&amp;" "&amp;VLOOKUP(B268,Usuarios!$A:$V,3,FALSE),"")</f>
        <v/>
      </c>
      <c r="D268" s="2">
        <f>IFERROR(VLOOKUP(B268,Usuarios!$A:$V,6,FALSE),"")</f>
        <v/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>
        <f>IFERROR(VLOOKUP(B269,Usuarios!$A:$V,2,FALSE)&amp;" "&amp;VLOOKUP(B269,Usuarios!$A:$V,3,FALSE),"")</f>
        <v/>
      </c>
      <c r="D269" s="2">
        <f>IFERROR(VLOOKUP(B269,Usuarios!$A:$V,6,FALSE),"")</f>
        <v/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>
        <f>IFERROR(VLOOKUP(B270,Usuarios!$A:$V,2,FALSE)&amp;" "&amp;VLOOKUP(B270,Usuarios!$A:$V,3,FALSE),"")</f>
        <v/>
      </c>
      <c r="D270" s="2">
        <f>IFERROR(VLOOKUP(B270,Usuarios!$A:$V,6,FALSE),"")</f>
        <v/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>
        <f>IFERROR(VLOOKUP(B271,Usuarios!$A:$V,2,FALSE)&amp;" "&amp;VLOOKUP(B271,Usuarios!$A:$V,3,FALSE),"")</f>
        <v/>
      </c>
      <c r="D271" s="2">
        <f>IFERROR(VLOOKUP(B271,Usuarios!$A:$V,6,FALSE),"")</f>
        <v/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>
        <f>IFERROR(VLOOKUP(B272,Usuarios!$A:$V,2,FALSE)&amp;" "&amp;VLOOKUP(B272,Usuarios!$A:$V,3,FALSE),"")</f>
        <v/>
      </c>
      <c r="D272" s="2">
        <f>IFERROR(VLOOKUP(B272,Usuarios!$A:$V,6,FALSE),"")</f>
        <v/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>
        <f>IFERROR(VLOOKUP(B273,Usuarios!$A:$V,2,FALSE)&amp;" "&amp;VLOOKUP(B273,Usuarios!$A:$V,3,FALSE),"")</f>
        <v/>
      </c>
      <c r="D273" s="2">
        <f>IFERROR(VLOOKUP(B273,Usuarios!$A:$V,6,FALSE),"")</f>
        <v/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>
        <f>IFERROR(VLOOKUP(B274,Usuarios!$A:$V,2,FALSE)&amp;" "&amp;VLOOKUP(B274,Usuarios!$A:$V,3,FALSE),"")</f>
        <v/>
      </c>
      <c r="D274" s="2">
        <f>IFERROR(VLOOKUP(B274,Usuarios!$A:$V,6,FALSE),"")</f>
        <v/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>
        <f>IFERROR(VLOOKUP(B275,Usuarios!$A:$V,2,FALSE)&amp;" "&amp;VLOOKUP(B275,Usuarios!$A:$V,3,FALSE),"")</f>
        <v/>
      </c>
      <c r="D275" s="2">
        <f>IFERROR(VLOOKUP(B275,Usuarios!$A:$V,6,FALSE),"")</f>
        <v/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>
        <f>IFERROR(VLOOKUP(B276,Usuarios!$A:$V,2,FALSE)&amp;" "&amp;VLOOKUP(B276,Usuarios!$A:$V,3,FALSE),"")</f>
        <v/>
      </c>
      <c r="D276" s="2">
        <f>IFERROR(VLOOKUP(B276,Usuarios!$A:$V,6,FALSE),"")</f>
        <v/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>
        <f>IFERROR(VLOOKUP(B277,Usuarios!$A:$V,2,FALSE)&amp;" "&amp;VLOOKUP(B277,Usuarios!$A:$V,3,FALSE),"")</f>
        <v/>
      </c>
      <c r="D277" s="2">
        <f>IFERROR(VLOOKUP(B277,Usuarios!$A:$V,6,FALSE),"")</f>
        <v/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>
        <f>IFERROR(VLOOKUP(B278,Usuarios!$A:$V,2,FALSE)&amp;" "&amp;VLOOKUP(B278,Usuarios!$A:$V,3,FALSE),"")</f>
        <v/>
      </c>
      <c r="D278" s="2">
        <f>IFERROR(VLOOKUP(B278,Usuarios!$A:$V,6,FALSE),"")</f>
        <v/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>
        <f>IFERROR(VLOOKUP(B279,Usuarios!$A:$V,2,FALSE)&amp;" "&amp;VLOOKUP(B279,Usuarios!$A:$V,3,FALSE),"")</f>
        <v/>
      </c>
      <c r="D279" s="2">
        <f>IFERROR(VLOOKUP(B279,Usuarios!$A:$V,6,FALSE),"")</f>
        <v/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>
        <f>IFERROR(VLOOKUP(B280,Usuarios!$A:$V,2,FALSE)&amp;" "&amp;VLOOKUP(B280,Usuarios!$A:$V,3,FALSE),"")</f>
        <v/>
      </c>
      <c r="D280" s="2">
        <f>IFERROR(VLOOKUP(B280,Usuarios!$A:$V,6,FALSE),"")</f>
        <v/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>
        <f>IFERROR(VLOOKUP(B281,Usuarios!$A:$V,2,FALSE)&amp;" "&amp;VLOOKUP(B281,Usuarios!$A:$V,3,FALSE),"")</f>
        <v/>
      </c>
      <c r="D281" s="2">
        <f>IFERROR(VLOOKUP(B281,Usuarios!$A:$V,6,FALSE),"")</f>
        <v/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>
        <f>IFERROR(VLOOKUP(B282,Usuarios!$A:$V,2,FALSE)&amp;" "&amp;VLOOKUP(B282,Usuarios!$A:$V,3,FALSE),"")</f>
        <v/>
      </c>
      <c r="D282" s="2">
        <f>IFERROR(VLOOKUP(B282,Usuarios!$A:$V,6,FALSE),"")</f>
        <v/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>
        <f>IFERROR(VLOOKUP(B283,Usuarios!$A:$V,2,FALSE)&amp;" "&amp;VLOOKUP(B283,Usuarios!$A:$V,3,FALSE),"")</f>
        <v/>
      </c>
      <c r="D283" s="2">
        <f>IFERROR(VLOOKUP(B283,Usuarios!$A:$V,6,FALSE),"")</f>
        <v/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>
        <f>IFERROR(VLOOKUP(B284,Usuarios!$A:$V,2,FALSE)&amp;" "&amp;VLOOKUP(B284,Usuarios!$A:$V,3,FALSE),"")</f>
        <v/>
      </c>
      <c r="D284" s="2">
        <f>IFERROR(VLOOKUP(B284,Usuarios!$A:$V,6,FALSE),"")</f>
        <v/>
      </c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>
        <f>IFERROR(VLOOKUP(B285,Usuarios!$A:$V,2,FALSE)&amp;" "&amp;VLOOKUP(B285,Usuarios!$A:$V,3,FALSE),"")</f>
        <v/>
      </c>
      <c r="D285" s="2">
        <f>IFERROR(VLOOKUP(B285,Usuarios!$A:$V,6,FALSE),"")</f>
        <v/>
      </c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>
        <f>IFERROR(VLOOKUP(B286,Usuarios!$A:$V,2,FALSE)&amp;" "&amp;VLOOKUP(B286,Usuarios!$A:$V,3,FALSE),"")</f>
        <v/>
      </c>
      <c r="D286" s="2">
        <f>IFERROR(VLOOKUP(B286,Usuarios!$A:$V,6,FALSE),"")</f>
        <v/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>
        <f>IFERROR(VLOOKUP(B287,Usuarios!$A:$V,2,FALSE)&amp;" "&amp;VLOOKUP(B287,Usuarios!$A:$V,3,FALSE),"")</f>
        <v/>
      </c>
      <c r="D287" s="2">
        <f>IFERROR(VLOOKUP(B287,Usuarios!$A:$V,6,FALSE),"")</f>
        <v/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>
        <f>IFERROR(VLOOKUP(B288,Usuarios!$A:$V,2,FALSE)&amp;" "&amp;VLOOKUP(B288,Usuarios!$A:$V,3,FALSE),"")</f>
        <v/>
      </c>
      <c r="D288" s="2">
        <f>IFERROR(VLOOKUP(B288,Usuarios!$A:$V,6,FALSE),"")</f>
        <v/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>
        <f>IFERROR(VLOOKUP(B289,Usuarios!$A:$V,2,FALSE)&amp;" "&amp;VLOOKUP(B289,Usuarios!$A:$V,3,FALSE),"")</f>
        <v/>
      </c>
      <c r="D289" s="2">
        <f>IFERROR(VLOOKUP(B289,Usuarios!$A:$V,6,FALSE),"")</f>
        <v/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>
        <f>IFERROR(VLOOKUP(B290,Usuarios!$A:$V,2,FALSE)&amp;" "&amp;VLOOKUP(B290,Usuarios!$A:$V,3,FALSE),"")</f>
        <v/>
      </c>
      <c r="D290" s="2">
        <f>IFERROR(VLOOKUP(B290,Usuarios!$A:$V,6,FALSE),"")</f>
        <v/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>
        <f>IFERROR(VLOOKUP(B291,Usuarios!$A:$V,2,FALSE)&amp;" "&amp;VLOOKUP(B291,Usuarios!$A:$V,3,FALSE),"")</f>
        <v/>
      </c>
      <c r="D291" s="2">
        <f>IFERROR(VLOOKUP(B291,Usuarios!$A:$V,6,FALSE),"")</f>
        <v/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>
        <f>IFERROR(VLOOKUP(B292,Usuarios!$A:$V,2,FALSE)&amp;" "&amp;VLOOKUP(B292,Usuarios!$A:$V,3,FALSE),"")</f>
        <v/>
      </c>
      <c r="D292" s="2">
        <f>IFERROR(VLOOKUP(B292,Usuarios!$A:$V,6,FALSE),"")</f>
        <v/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>
        <f>IFERROR(VLOOKUP(B293,Usuarios!$A:$V,2,FALSE)&amp;" "&amp;VLOOKUP(B293,Usuarios!$A:$V,3,FALSE),"")</f>
        <v/>
      </c>
      <c r="D293" s="2">
        <f>IFERROR(VLOOKUP(B293,Usuarios!$A:$V,6,FALSE),"")</f>
        <v/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>
        <f>IFERROR(VLOOKUP(B294,Usuarios!$A:$V,2,FALSE)&amp;" "&amp;VLOOKUP(B294,Usuarios!$A:$V,3,FALSE),"")</f>
        <v/>
      </c>
      <c r="D294" s="2">
        <f>IFERROR(VLOOKUP(B294,Usuarios!$A:$V,6,FALSE),"")</f>
        <v/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>
        <f>IFERROR(VLOOKUP(B295,Usuarios!$A:$V,2,FALSE)&amp;" "&amp;VLOOKUP(B295,Usuarios!$A:$V,3,FALSE),"")</f>
        <v/>
      </c>
      <c r="D295" s="2">
        <f>IFERROR(VLOOKUP(B295,Usuarios!$A:$V,6,FALSE),"")</f>
        <v/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>
        <f>IFERROR(VLOOKUP(B296,Usuarios!$A:$V,2,FALSE)&amp;" "&amp;VLOOKUP(B296,Usuarios!$A:$V,3,FALSE),"")</f>
        <v/>
      </c>
      <c r="D296" s="2">
        <f>IFERROR(VLOOKUP(B296,Usuarios!$A:$V,6,FALSE),"")</f>
        <v/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>
        <f>IFERROR(VLOOKUP(B297,Usuarios!$A:$V,2,FALSE)&amp;" "&amp;VLOOKUP(B297,Usuarios!$A:$V,3,FALSE),"")</f>
        <v/>
      </c>
      <c r="D297" s="2">
        <f>IFERROR(VLOOKUP(B297,Usuarios!$A:$V,6,FALSE),"")</f>
        <v/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>
        <f>IFERROR(VLOOKUP(B298,Usuarios!$A:$V,2,FALSE)&amp;" "&amp;VLOOKUP(B298,Usuarios!$A:$V,3,FALSE),"")</f>
        <v/>
      </c>
      <c r="D298" s="2">
        <f>IFERROR(VLOOKUP(B298,Usuarios!$A:$V,6,FALSE),"")</f>
        <v/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>
        <f>IFERROR(VLOOKUP(B299,Usuarios!$A:$V,2,FALSE)&amp;" "&amp;VLOOKUP(B299,Usuarios!$A:$V,3,FALSE),"")</f>
        <v/>
      </c>
      <c r="D299" s="2">
        <f>IFERROR(VLOOKUP(B299,Usuarios!$A:$V,6,FALSE),"")</f>
        <v/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>
        <f>IFERROR(VLOOKUP(B300,Usuarios!$A:$V,2,FALSE)&amp;" "&amp;VLOOKUP(B300,Usuarios!$A:$V,3,FALSE),"")</f>
        <v/>
      </c>
      <c r="D300" s="2">
        <f>IFERROR(VLOOKUP(B300,Usuarios!$A:$V,6,FALSE),"")</f>
        <v/>
      </c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>
        <f>IFERROR(VLOOKUP(B301,Usuarios!$A:$V,2,FALSE)&amp;" "&amp;VLOOKUP(B301,Usuarios!$A:$V,3,FALSE),"")</f>
        <v/>
      </c>
      <c r="D301" s="2">
        <f>IFERROR(VLOOKUP(B301,Usuarios!$A:$V,6,FALSE),"")</f>
        <v/>
      </c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</sheetData>
  <conditionalFormatting sqref="I2:I301">
    <cfRule type="colorScale" priority="1">
      <colorScale>
        <cfvo type="num" val="1"/>
        <cfvo type="num" val="3"/>
        <cfvo type="num" val="5"/>
        <color rgb="00F4CCCC"/>
        <color rgb="00FFF2CC"/>
        <color rgb="00D9EAD3"/>
      </colorScale>
    </cfRule>
  </conditionalFormatting>
  <dataValidations count="4">
    <dataValidation sqref="E2:E301" showDropDown="0" showInputMessage="0" showErrorMessage="0" allowBlank="1" type="list">
      <formula1>=Catalogos!$B$2:$B$6</formula1>
    </dataValidation>
    <dataValidation sqref="G2:G301" showDropDown="0" showInputMessage="0" showErrorMessage="0" allowBlank="1" type="list">
      <formula1>=Catalogos!$A$2:$A$11</formula1>
    </dataValidation>
    <dataValidation sqref="I2:I301" showDropDown="0" showInputMessage="0" showErrorMessage="0" allowBlank="1" type="list">
      <formula1>=Catalogos!$E$2:$E$6</formula1>
    </dataValidation>
    <dataValidation sqref="P2:P301" showDropDown="0" showInputMessage="0" showErrorMessage="0" allowBlank="1" type="list">
      <formula1>=Catalogos!$F$2:$F$3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9" t="inlineStr">
        <is>
          <t>Estados</t>
        </is>
      </c>
      <c r="B1" s="9" t="inlineStr">
        <is>
          <t>Medios</t>
        </is>
      </c>
      <c r="C1" s="9" t="inlineStr">
        <is>
          <t>Areas</t>
        </is>
      </c>
      <c r="D1" s="9" t="inlineStr">
        <is>
          <t>Regimen</t>
        </is>
      </c>
      <c r="E1" s="9" t="inlineStr">
        <is>
          <t>Calificacion</t>
        </is>
      </c>
      <c r="F1" s="9" t="inlineStr">
        <is>
          <t>SiNo</t>
        </is>
      </c>
    </row>
    <row r="2">
      <c r="A2" t="inlineStr">
        <is>
          <t>E - Contactado</t>
        </is>
      </c>
      <c r="B2" t="inlineStr">
        <is>
          <t>Correo</t>
        </is>
      </c>
      <c r="C2" t="inlineStr">
        <is>
          <t>Operaciones Mina</t>
        </is>
      </c>
      <c r="D2" t="inlineStr">
        <is>
          <t>Administrativo</t>
        </is>
      </c>
      <c r="E2" t="n">
        <v>1</v>
      </c>
      <c r="F2" t="inlineStr">
        <is>
          <t>Sí</t>
        </is>
      </c>
    </row>
    <row r="3">
      <c r="A3" t="inlineStr">
        <is>
          <t>P - Programado</t>
        </is>
      </c>
      <c r="B3" t="inlineStr">
        <is>
          <t>Teams</t>
        </is>
      </c>
      <c r="C3" t="inlineStr">
        <is>
          <t>Geotecnia</t>
        </is>
      </c>
      <c r="D3" t="inlineStr">
        <is>
          <t>4x3</t>
        </is>
      </c>
      <c r="E3" t="n">
        <v>2</v>
      </c>
      <c r="F3" t="inlineStr">
        <is>
          <t>No</t>
        </is>
      </c>
    </row>
    <row r="4">
      <c r="A4" t="inlineStr">
        <is>
          <t>R - Reunión realizada</t>
        </is>
      </c>
      <c r="B4" t="inlineStr">
        <is>
          <t>Llamada</t>
        </is>
      </c>
      <c r="C4" t="inlineStr">
        <is>
          <t>Perforación y Voladura</t>
        </is>
      </c>
      <c r="D4" t="inlineStr">
        <is>
          <t>7x7</t>
        </is>
      </c>
      <c r="E4" t="n">
        <v>3</v>
      </c>
    </row>
    <row r="5">
      <c r="A5" t="inlineStr">
        <is>
          <t>NR - Sin respuesta</t>
        </is>
      </c>
      <c r="B5" t="inlineStr">
        <is>
          <t>Reunión Teams</t>
        </is>
      </c>
      <c r="C5" t="inlineStr">
        <is>
          <t>Desarrollo Mina</t>
        </is>
      </c>
      <c r="D5" t="inlineStr">
        <is>
          <t>14x7</t>
        </is>
      </c>
      <c r="E5" t="n">
        <v>4</v>
      </c>
    </row>
    <row r="6">
      <c r="A6" t="inlineStr">
        <is>
          <t>RC - Requiere contacto posterior</t>
        </is>
      </c>
      <c r="B6" t="inlineStr">
        <is>
          <t>Otro</t>
        </is>
      </c>
      <c r="C6" t="inlineStr">
        <is>
          <t>Planeamiento</t>
        </is>
      </c>
      <c r="D6" t="inlineStr">
        <is>
          <t>Otro</t>
        </is>
      </c>
      <c r="E6" t="n">
        <v>5</v>
      </c>
    </row>
    <row r="7">
      <c r="A7" t="inlineStr">
        <is>
          <t>O - Observaciones</t>
        </is>
      </c>
      <c r="C7" t="inlineStr">
        <is>
          <t>Mantenimiento</t>
        </is>
      </c>
    </row>
    <row r="8">
      <c r="A8" t="inlineStr">
        <is>
          <t>ES - Solicitud escalada</t>
        </is>
      </c>
      <c r="C8" t="inlineStr">
        <is>
          <t>IM</t>
        </is>
      </c>
    </row>
    <row r="9">
      <c r="A9" t="inlineStr">
        <is>
          <t>C - Cerrado</t>
        </is>
      </c>
      <c r="C9" t="inlineStr">
        <is>
          <t>Contratistas</t>
        </is>
      </c>
    </row>
    <row r="10">
      <c r="A10" t="inlineStr">
        <is>
          <t>A - Activo</t>
        </is>
      </c>
      <c r="C10" t="inlineStr">
        <is>
          <t>Gerencia</t>
        </is>
      </c>
    </row>
    <row r="11">
      <c r="A11" t="inlineStr">
        <is>
          <t>I - Inactivo</t>
        </is>
      </c>
      <c r="C11" t="inlineStr">
        <is>
          <t>Otra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2026-07-18T17:31:04Z</dcterms:created>
  <dcterms:modified xmlns:dcterms="http://purl.org/dc/terms/" xmlns:xsi="http://www.w3.org/2001/XMLSchema-instance" xsi:type="dcterms:W3CDTF">2026-07-18T17:31:05Z</dcterms:modified>
</cp:coreProperties>
</file>