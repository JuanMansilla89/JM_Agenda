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puesta Modelo" sheetId="1" state="visible" r:id="rId3"/>
    <sheet name="costos" sheetId="2" state="visible" r:id="rId4"/>
    <sheet name="Resumen Mensua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<sst xmlns="http://schemas.openxmlformats.org/spreadsheetml/2006/main" count="84" uniqueCount="45">
  <si>
    <t xml:space="preserve">PLANTILLA DE PROPUESTA ECONÓMICA — completar Cantidad y HH por mes por perfil; el costo/hora se trae automáticamente de la hoja 'costos'.</t>
  </si>
  <si>
    <t xml:space="preserve"> </t>
  </si>
  <si>
    <t xml:space="preserve">MES - Personal</t>
  </si>
  <si>
    <t xml:space="preserve">MES - Personal total</t>
  </si>
  <si>
    <t xml:space="preserve">Dolar</t>
  </si>
  <si>
    <t xml:space="preserve">Profesional</t>
  </si>
  <si>
    <t xml:space="preserve">Cantidad</t>
  </si>
  <si>
    <t xml:space="preserve">Unidad</t>
  </si>
  <si>
    <t xml:space="preserve">Costo Horario</t>
  </si>
  <si>
    <t xml:space="preserve">MES 1</t>
  </si>
  <si>
    <t xml:space="preserve">MES 2</t>
  </si>
  <si>
    <t xml:space="preserve">MES 3</t>
  </si>
  <si>
    <t xml:space="preserve">MES 4</t>
  </si>
  <si>
    <t xml:space="preserve">Líder del Proyecto</t>
  </si>
  <si>
    <t xml:space="preserve">HH</t>
  </si>
  <si>
    <t xml:space="preserve">Ingeniero de Datos</t>
  </si>
  <si>
    <t xml:space="preserve">Desarrollador Backend</t>
  </si>
  <si>
    <t xml:space="preserve">Científico de Datos / Modelador de Reglas</t>
  </si>
  <si>
    <t xml:space="preserve">Modelador 3D / CAD Industrial</t>
  </si>
  <si>
    <t xml:space="preserve">Desarrollador Frontend 3D</t>
  </si>
  <si>
    <t xml:space="preserve">Diseñador UX/UI Industrial</t>
  </si>
  <si>
    <t xml:space="preserve">QA / Tester</t>
  </si>
  <si>
    <t xml:space="preserve">Documentador/ Soporte / Capacitación</t>
  </si>
  <si>
    <t xml:space="preserve">Sub Total</t>
  </si>
  <si>
    <t xml:space="preserve">USD</t>
  </si>
  <si>
    <t xml:space="preserve">Costos indirectos</t>
  </si>
  <si>
    <t xml:space="preserve">Gastos administrativos</t>
  </si>
  <si>
    <t xml:space="preserve">Utilidad</t>
  </si>
  <si>
    <t xml:space="preserve">Costo total mensual</t>
  </si>
  <si>
    <t xml:space="preserve">Total</t>
  </si>
  <si>
    <t xml:space="preserve">USD/MES</t>
  </si>
  <si>
    <t xml:space="preserve">USD/HH</t>
  </si>
  <si>
    <t xml:space="preserve">USD/PERS</t>
  </si>
  <si>
    <t xml:space="preserve">Mes</t>
  </si>
  <si>
    <t xml:space="preserve">N° Personas</t>
  </si>
  <si>
    <t xml:space="preserve">Horas</t>
  </si>
  <si>
    <t xml:space="preserve">Costo Horario Promedio (USD/HH)</t>
  </si>
  <si>
    <t xml:space="preserve">Costo Mano de Obra (USD)</t>
  </si>
  <si>
    <t xml:space="preserve">Costo Total con Overhead (USD)</t>
  </si>
  <si>
    <t xml:space="preserve">Mes 1</t>
  </si>
  <si>
    <t xml:space="preserve">Mes 2</t>
  </si>
  <si>
    <t xml:space="preserve">Mes 3</t>
  </si>
  <si>
    <t xml:space="preserve">Mes 4</t>
  </si>
  <si>
    <t xml:space="preserve">TOTAL PROYECTO</t>
  </si>
  <si>
    <t xml:space="preserve">N° Personas = headcount con horas&gt;0 ese mes (no es acumulable entre meses). TOTAL PROYECTO usa el pico (máximo mensual).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</si>
</sst>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(* #,##0.00_);_(* \(#,##0.00\);_(* \-??_);_(@_)"/>
    <numFmt numFmtId="166" formatCode="_(* #,##0_);_(* \(#,##0\);_(* \-??_);_(@_)"/>
    <numFmt numFmtId="167" formatCode="_-* #,##0.00_-;\-* #,##0.00_-;_-* \-??_-;_-@_-"/>
    <numFmt numFmtId="168" formatCode="_-* #,##0.00\ _€_-;\-* #,##0.00\ _€_-;_-* \-??\ _€_-;_-@_-"/>
    <numFmt numFmtId="169" formatCode="_-* #,##0_-;\-* #,##0_-;_-* \-??_-;_-@_-"/>
    <numFmt numFmtId="170" formatCode="0%"/>
    <numFmt numFmtId="171" formatCode="0.0%"/>
  </numFmts>
  <fonts count="11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 Nova Cond"/>
      <family val="2"/>
      <charset val="1"/>
    </font>
    <font>
      <b val="true"/>
      <sz val="12"/>
      <color theme="1"/>
      <name val="Arial Nova Cond"/>
      <family val="2"/>
      <charset val="1"/>
    </font>
    <font>
      <b val="true"/>
      <sz val="12"/>
      <color rgb="FF002060"/>
      <name val="Arial Nova Cond"/>
      <family val="2"/>
      <charset val="1"/>
    </font>
    <font>
      <b val="true"/>
      <sz val="10"/>
      <color theme="1"/>
      <name val="Arial Nova Cond"/>
      <family val="2"/>
      <charset val="1"/>
    </font>
    <font>
      <sz val="10"/>
      <color theme="1"/>
      <name val="Arial Nova Cond"/>
      <family val="2"/>
      <charset val="1"/>
    </font>
    <font>
      <sz val="11"/>
      <color rgb="FFFF0000"/>
      <name val="Arial Nova Cond"/>
      <family val="2"/>
      <charset val="1"/>
    </font>
    <font>
      <b val="true"/>
      <sz val="11"/>
      <color theme="1"/>
      <name val="Arial Nova Cond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7999"/>
        <bgColor rgb="FFCCFFFF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0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0" borderId="8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7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9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6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15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0" borderId="11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0" xfId="15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2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0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8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9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20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8" fillId="0" borderId="0" xfId="1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8" fillId="0" borderId="14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5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4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6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2" borderId="0" xfId="15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3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3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3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6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7"/>
  <sheetViews>
    <sheetView showFormulas="false" showGridLines="false" showRowColHeaders="true" showZeros="true" rightToLeft="false" tabSelected="true" showOutlineSymbols="true" defaultGridColor="true" view="normal" topLeftCell="H1" colorId="64" zoomScale="85" zoomScaleNormal="85" zoomScalePageLayoutView="100" workbookViewId="0">
      <selection pane="topLeft" activeCell="O10" activeCellId="0" sqref="O10"/>
    </sheetView>
  </sheetViews>
  <sheetFormatPr defaultColWidth="9.4453125" defaultRowHeight="14.25" customHeight="false" zeroHeight="false" outlineLevelRow="0" outlineLevelCol="0"/>
  <cols>
    <col collapsed="false" customWidth="true" hidden="false" outlineLevel="0" max="1" min="1" style="1" width="3.88"/>
    <col collapsed="false" customWidth="true" hidden="false" outlineLevel="0" max="2" min="2" style="2" width="35.78"/>
    <col collapsed="false" customWidth="true" hidden="false" outlineLevel="0" max="3" min="3" style="2" width="8.1"/>
    <col collapsed="false" customWidth="true" hidden="false" outlineLevel="0" max="4" min="4" style="2" width="16.44"/>
    <col collapsed="false" customWidth="true" hidden="false" outlineLevel="0" max="8" min="5" style="2" width="8.44"/>
    <col collapsed="false" customWidth="true" hidden="false" outlineLevel="0" max="9" min="9" style="2" width="4.22"/>
    <col collapsed="false" customWidth="true" hidden="false" outlineLevel="0" max="10" min="10" style="2" width="33.34"/>
    <col collapsed="false" customWidth="true" hidden="true" outlineLevel="0" max="11" min="11" style="3" width="6.78"/>
    <col collapsed="false" customWidth="true" hidden="false" outlineLevel="0" max="12" min="12" style="2" width="6.66"/>
    <col collapsed="false" customWidth="true" hidden="false" outlineLevel="0" max="15" min="13" style="2" width="10.11"/>
    <col collapsed="false" customWidth="true" hidden="false" outlineLevel="0" max="16" min="16" style="2" width="14"/>
    <col collapsed="false" customWidth="true" hidden="false" outlineLevel="0" max="17" min="17" style="0" width="3.78"/>
    <col collapsed="false" customWidth="true" hidden="false" outlineLevel="0" max="18" min="18" style="0" width="13.44"/>
    <col collapsed="false" customWidth="true" hidden="false" outlineLevel="0" max="19" min="19" style="1" width="11.44"/>
    <col collapsed="false" customWidth="true" hidden="true" outlineLevel="0" max="21" min="20" style="0" width="11.44"/>
    <col collapsed="false" customWidth="true" hidden="true" outlineLevel="0" max="22" min="22" style="0" width="12.44"/>
    <col collapsed="false" customWidth="true" hidden="true" outlineLevel="0" max="23" min="23" style="0" width="15.44"/>
    <col collapsed="false" customWidth="false" hidden="true" outlineLevel="0" max="24" min="24" style="0" width="9.44"/>
    <col collapsed="false" customWidth="true" hidden="true" outlineLevel="0" max="27" min="25" style="0" width="13"/>
  </cols>
  <sheetData>
    <row r="1" customFormat="false" ht="15" hidden="false" customHeight="true" outlineLevel="0" collapsed="false">
      <c r="A1" s="4"/>
      <c r="B1" s="5" t="s">
        <v>0</v>
      </c>
      <c r="C1" s="5"/>
      <c r="D1" s="5"/>
      <c r="E1" s="5"/>
      <c r="F1" s="5"/>
      <c r="G1" s="5"/>
      <c r="H1" s="5"/>
      <c r="I1" s="5"/>
      <c r="J1" s="5"/>
      <c r="K1" s="6"/>
      <c r="L1" s="7"/>
      <c r="M1" s="7"/>
      <c r="N1" s="7"/>
      <c r="O1" s="7"/>
      <c r="P1" s="7"/>
      <c r="Q1" s="8"/>
      <c r="R1" s="8"/>
      <c r="S1" s="4"/>
      <c r="T1" s="8"/>
      <c r="U1" s="8"/>
      <c r="V1" s="8"/>
    </row>
    <row r="2" customFormat="false" ht="15" hidden="false" customHeight="true" outlineLevel="0" collapsed="false">
      <c r="K2" s="1"/>
    </row>
    <row r="3" customFormat="false" ht="15.75" hidden="false" customHeight="true" outlineLevel="0" collapsed="false">
      <c r="B3" s="9" t="s">
        <v>1</v>
      </c>
      <c r="C3" s="9"/>
      <c r="D3" s="9"/>
      <c r="E3" s="10" t="s">
        <v>2</v>
      </c>
      <c r="F3" s="10"/>
      <c r="G3" s="10"/>
      <c r="H3" s="10"/>
      <c r="J3" s="9" t="s">
        <v>1</v>
      </c>
      <c r="K3" s="11"/>
      <c r="L3" s="9"/>
      <c r="M3" s="12" t="s">
        <v>3</v>
      </c>
      <c r="N3" s="12"/>
      <c r="O3" s="12"/>
      <c r="P3" s="12"/>
      <c r="R3" s="0" t="s">
        <v>4</v>
      </c>
      <c r="S3" s="1" t="n">
        <v>3.5</v>
      </c>
    </row>
    <row r="4" customFormat="false" ht="15" hidden="false" customHeight="true" outlineLevel="0" collapsed="false">
      <c r="B4" s="13" t="s">
        <v>5</v>
      </c>
      <c r="C4" s="14" t="s">
        <v>6</v>
      </c>
      <c r="D4" s="15" t="s">
        <v>7</v>
      </c>
      <c r="E4" s="16" t="n">
        <v>1</v>
      </c>
      <c r="F4" s="17" t="n">
        <v>2</v>
      </c>
      <c r="G4" s="17" t="n">
        <v>3</v>
      </c>
      <c r="H4" s="18" t="n">
        <v>4</v>
      </c>
      <c r="J4" s="13" t="s">
        <v>5</v>
      </c>
      <c r="K4" s="19" t="s">
        <v>6</v>
      </c>
      <c r="L4" s="15" t="s">
        <v>7</v>
      </c>
      <c r="M4" s="16" t="n">
        <v>1</v>
      </c>
      <c r="N4" s="17" t="n">
        <v>2</v>
      </c>
      <c r="O4" s="17" t="n">
        <v>3</v>
      </c>
      <c r="P4" s="18" t="n">
        <v>4</v>
      </c>
      <c r="R4" s="10" t="s">
        <v>8</v>
      </c>
      <c r="T4" s="12"/>
      <c r="U4" s="20"/>
      <c r="V4" s="20"/>
      <c r="W4" s="20"/>
      <c r="AB4" s="10"/>
      <c r="AD4" s="21" t="s">
        <v>9</v>
      </c>
      <c r="AE4" s="21" t="s">
        <v>10</v>
      </c>
      <c r="AF4" s="21" t="s">
        <v>11</v>
      </c>
      <c r="AG4" s="21" t="s">
        <v>12</v>
      </c>
    </row>
    <row r="5" customFormat="false" ht="14.25" hidden="false" customHeight="false" outlineLevel="0" collapsed="false">
      <c r="A5" s="1" t="n">
        <v>1</v>
      </c>
      <c r="B5" s="22" t="s">
        <v>13</v>
      </c>
      <c r="C5" s="23" t="n">
        <v>1</v>
      </c>
      <c r="D5" s="24" t="s">
        <v>14</v>
      </c>
      <c r="E5" s="25" t="n">
        <v>64</v>
      </c>
      <c r="F5" s="26" t="n">
        <v>64</v>
      </c>
      <c r="G5" s="26" t="n">
        <v>64</v>
      </c>
      <c r="H5" s="27"/>
      <c r="J5" s="28" t="str">
        <f aca="false">B5</f>
        <v>Líder del Proyecto</v>
      </c>
      <c r="K5" s="23" t="n">
        <f aca="false">C5</f>
        <v>1</v>
      </c>
      <c r="L5" s="25" t="s">
        <v>14</v>
      </c>
      <c r="M5" s="29" t="n">
        <f aca="false">E5*$K5</f>
        <v>64</v>
      </c>
      <c r="N5" s="30" t="n">
        <f aca="false">F5*$K5</f>
        <v>64</v>
      </c>
      <c r="O5" s="30" t="n">
        <f aca="false">G5*$K5</f>
        <v>64</v>
      </c>
      <c r="P5" s="31" t="n">
        <f aca="false">H5*$K5</f>
        <v>0</v>
      </c>
      <c r="R5" s="32" t="n">
        <f aca="false">VLOOKUP(B5,costos!$B:$C,2,0)</f>
        <v>32</v>
      </c>
      <c r="S5" s="33"/>
      <c r="T5" s="34"/>
      <c r="U5" s="34"/>
      <c r="V5" s="34"/>
      <c r="W5" s="34"/>
      <c r="X5" s="35"/>
      <c r="Y5" s="36"/>
      <c r="AB5" s="37"/>
      <c r="AD5" s="37" t="n">
        <f aca="false">+SUMPRODUCT(M5:M13,$R$5:$R$13)</f>
        <v>12352</v>
      </c>
      <c r="AE5" s="37" t="n">
        <f aca="false">+SUMPRODUCT(N5:N13,$R$5:$R$13)</f>
        <v>12352</v>
      </c>
      <c r="AF5" s="37" t="n">
        <f aca="false">+SUMPRODUCT(O5:O13,$R$5:$R$13)</f>
        <v>11008</v>
      </c>
      <c r="AG5" s="37" t="n">
        <f aca="false">+SUMPRODUCT(P5:P13,$R$5:$R$13)</f>
        <v>0</v>
      </c>
    </row>
    <row r="6" customFormat="false" ht="14.25" hidden="false" customHeight="false" outlineLevel="0" collapsed="false">
      <c r="A6" s="1" t="n">
        <v>2</v>
      </c>
      <c r="B6" s="38" t="s">
        <v>15</v>
      </c>
      <c r="C6" s="3" t="n">
        <v>1</v>
      </c>
      <c r="D6" s="39" t="s">
        <v>14</v>
      </c>
      <c r="E6" s="40" t="n">
        <v>64</v>
      </c>
      <c r="F6" s="41" t="n">
        <v>64</v>
      </c>
      <c r="G6" s="41" t="n">
        <v>64</v>
      </c>
      <c r="H6" s="42"/>
      <c r="J6" s="43" t="str">
        <f aca="false">B6</f>
        <v>Ingeniero de Datos</v>
      </c>
      <c r="K6" s="3" t="n">
        <f aca="false">C6</f>
        <v>1</v>
      </c>
      <c r="L6" s="40" t="s">
        <v>14</v>
      </c>
      <c r="M6" s="44" t="n">
        <f aca="false">E6*$K6</f>
        <v>64</v>
      </c>
      <c r="N6" s="45" t="n">
        <f aca="false">F6*$K6</f>
        <v>64</v>
      </c>
      <c r="O6" s="45" t="n">
        <f aca="false">G6*$K6</f>
        <v>64</v>
      </c>
      <c r="P6" s="46" t="n">
        <f aca="false">H6*$K6</f>
        <v>0</v>
      </c>
      <c r="R6" s="32" t="n">
        <f aca="false">VLOOKUP(B6,costos!$B:$C,2,0)</f>
        <v>25</v>
      </c>
      <c r="S6" s="33"/>
      <c r="T6" s="34"/>
      <c r="U6" s="34"/>
      <c r="V6" s="34"/>
      <c r="W6" s="34"/>
      <c r="X6" s="35"/>
      <c r="AB6" s="37"/>
    </row>
    <row r="7" customFormat="false" ht="27" hidden="false" customHeight="true" outlineLevel="0" collapsed="false">
      <c r="A7" s="1" t="n">
        <v>3</v>
      </c>
      <c r="B7" s="38" t="s">
        <v>16</v>
      </c>
      <c r="C7" s="3" t="n">
        <v>1</v>
      </c>
      <c r="D7" s="39" t="s">
        <v>14</v>
      </c>
      <c r="E7" s="40" t="n">
        <v>128</v>
      </c>
      <c r="F7" s="41" t="n">
        <v>128</v>
      </c>
      <c r="G7" s="41" t="n">
        <v>128</v>
      </c>
      <c r="H7" s="42"/>
      <c r="J7" s="43" t="str">
        <f aca="false">B7</f>
        <v>Desarrollador Backend</v>
      </c>
      <c r="K7" s="3" t="n">
        <f aca="false">C7</f>
        <v>1</v>
      </c>
      <c r="L7" s="40" t="s">
        <v>14</v>
      </c>
      <c r="M7" s="44" t="n">
        <f aca="false">E7*$K7</f>
        <v>128</v>
      </c>
      <c r="N7" s="45" t="n">
        <f aca="false">F7*$K7</f>
        <v>128</v>
      </c>
      <c r="O7" s="45" t="n">
        <f aca="false">G7*$K7</f>
        <v>128</v>
      </c>
      <c r="P7" s="46" t="n">
        <f aca="false">H7*$K7</f>
        <v>0</v>
      </c>
      <c r="R7" s="32" t="n">
        <f aca="false">VLOOKUP(B7,costos!$B:$C,2,0)</f>
        <v>25</v>
      </c>
      <c r="S7" s="33"/>
      <c r="T7" s="34"/>
      <c r="U7" s="34"/>
      <c r="V7" s="34"/>
      <c r="W7" s="34"/>
      <c r="X7" s="35"/>
      <c r="AB7" s="37"/>
    </row>
    <row r="8" customFormat="false" ht="27" hidden="false" customHeight="true" outlineLevel="0" collapsed="false">
      <c r="A8" s="1" t="n">
        <v>4</v>
      </c>
      <c r="B8" s="38" t="s">
        <v>17</v>
      </c>
      <c r="C8" s="3" t="n">
        <v>1</v>
      </c>
      <c r="D8" s="39" t="s">
        <v>14</v>
      </c>
      <c r="E8" s="40" t="n">
        <v>128</v>
      </c>
      <c r="F8" s="41" t="n">
        <v>128</v>
      </c>
      <c r="G8" s="41" t="n">
        <v>128</v>
      </c>
      <c r="H8" s="42"/>
      <c r="J8" s="43" t="str">
        <f aca="false">B8</f>
        <v>Científico de Datos / Modelador de Reglas</v>
      </c>
      <c r="K8" s="3" t="n">
        <f aca="false">C8</f>
        <v>1</v>
      </c>
      <c r="L8" s="40" t="s">
        <v>14</v>
      </c>
      <c r="M8" s="44" t="n">
        <f aca="false">E8*$K8</f>
        <v>128</v>
      </c>
      <c r="N8" s="45" t="n">
        <f aca="false">F8*$K8</f>
        <v>128</v>
      </c>
      <c r="O8" s="45" t="n">
        <v>80</v>
      </c>
      <c r="P8" s="46" t="n">
        <f aca="false">H8*$K8</f>
        <v>0</v>
      </c>
      <c r="R8" s="32" t="n">
        <f aca="false">VLOOKUP(B8,costos!$B:$C,2,0)</f>
        <v>28</v>
      </c>
      <c r="S8" s="33"/>
      <c r="T8" s="34"/>
      <c r="U8" s="34"/>
      <c r="V8" s="34"/>
      <c r="W8" s="34"/>
      <c r="X8" s="35"/>
      <c r="AB8" s="37"/>
    </row>
    <row r="9" customFormat="false" ht="14.25" hidden="false" customHeight="false" outlineLevel="0" collapsed="false">
      <c r="A9" s="1" t="n">
        <v>5</v>
      </c>
      <c r="B9" s="47" t="s">
        <v>18</v>
      </c>
      <c r="C9" s="3" t="n">
        <v>1</v>
      </c>
      <c r="D9" s="39" t="s">
        <v>14</v>
      </c>
      <c r="E9" s="40"/>
      <c r="F9" s="41"/>
      <c r="G9" s="41"/>
      <c r="H9" s="42"/>
      <c r="J9" s="43" t="str">
        <f aca="false">B9</f>
        <v>Modelador 3D / CAD Industrial</v>
      </c>
      <c r="K9" s="3" t="n">
        <f aca="false">C9</f>
        <v>1</v>
      </c>
      <c r="L9" s="40" t="s">
        <v>14</v>
      </c>
      <c r="M9" s="44" t="n">
        <f aca="false">E9*$K9</f>
        <v>0</v>
      </c>
      <c r="N9" s="45" t="n">
        <f aca="false">F9*$K9</f>
        <v>0</v>
      </c>
      <c r="O9" s="45" t="n">
        <f aca="false">G9*$K9</f>
        <v>0</v>
      </c>
      <c r="P9" s="46" t="n">
        <f aca="false">H9*$K9</f>
        <v>0</v>
      </c>
      <c r="R9" s="32" t="n">
        <f aca="false">VLOOKUP(B9,costos!$B:$C,2,0)</f>
        <v>18</v>
      </c>
      <c r="S9" s="33"/>
      <c r="T9" s="34"/>
      <c r="U9" s="34"/>
      <c r="V9" s="34"/>
      <c r="W9" s="34"/>
      <c r="X9" s="35"/>
      <c r="AB9" s="37"/>
    </row>
    <row r="10" customFormat="false" ht="14.25" hidden="false" customHeight="false" outlineLevel="0" collapsed="false">
      <c r="A10" s="1" t="n">
        <v>6</v>
      </c>
      <c r="B10" s="38" t="s">
        <v>19</v>
      </c>
      <c r="C10" s="3" t="n">
        <v>1</v>
      </c>
      <c r="D10" s="39" t="s">
        <v>14</v>
      </c>
      <c r="E10" s="40" t="n">
        <v>96</v>
      </c>
      <c r="F10" s="41" t="n">
        <v>96</v>
      </c>
      <c r="G10" s="41" t="n">
        <v>96</v>
      </c>
      <c r="H10" s="42"/>
      <c r="J10" s="43" t="str">
        <f aca="false">B10</f>
        <v>Desarrollador Frontend 3D</v>
      </c>
      <c r="K10" s="3" t="n">
        <f aca="false">C10</f>
        <v>1</v>
      </c>
      <c r="L10" s="40" t="s">
        <v>14</v>
      </c>
      <c r="M10" s="44" t="n">
        <f aca="false">E10*$K10</f>
        <v>96</v>
      </c>
      <c r="N10" s="45" t="n">
        <f aca="false">F10*$K10</f>
        <v>96</v>
      </c>
      <c r="O10" s="45" t="n">
        <f aca="false">G10*$K10</f>
        <v>96</v>
      </c>
      <c r="P10" s="46" t="n">
        <f aca="false">H10*$K10</f>
        <v>0</v>
      </c>
      <c r="R10" s="32" t="n">
        <f aca="false">VLOOKUP(B10,costos!$B:$C,2,0)</f>
        <v>20</v>
      </c>
      <c r="S10" s="33"/>
      <c r="T10" s="34"/>
      <c r="U10" s="34"/>
      <c r="V10" s="34"/>
      <c r="W10" s="34"/>
      <c r="X10" s="35"/>
      <c r="AB10" s="37"/>
    </row>
    <row r="11" customFormat="false" ht="14.25" hidden="false" customHeight="false" outlineLevel="0" collapsed="false">
      <c r="A11" s="1" t="n">
        <v>7</v>
      </c>
      <c r="B11" s="38" t="s">
        <v>20</v>
      </c>
      <c r="C11" s="3" t="n">
        <v>1</v>
      </c>
      <c r="D11" s="39" t="s">
        <v>14</v>
      </c>
      <c r="E11" s="40"/>
      <c r="F11" s="41"/>
      <c r="G11" s="41"/>
      <c r="H11" s="42"/>
      <c r="J11" s="43" t="str">
        <f aca="false">B11</f>
        <v>Diseñador UX/UI Industrial</v>
      </c>
      <c r="K11" s="3" t="n">
        <f aca="false">C11</f>
        <v>1</v>
      </c>
      <c r="L11" s="40" t="s">
        <v>14</v>
      </c>
      <c r="M11" s="44" t="n">
        <f aca="false">E11*$K11</f>
        <v>0</v>
      </c>
      <c r="N11" s="45" t="n">
        <f aca="false">F11*$K11</f>
        <v>0</v>
      </c>
      <c r="O11" s="45" t="n">
        <f aca="false">G11*$K11</f>
        <v>0</v>
      </c>
      <c r="P11" s="46" t="n">
        <f aca="false">H11*$K11</f>
        <v>0</v>
      </c>
      <c r="R11" s="32" t="n">
        <f aca="false">VLOOKUP(B11,costos!$B:$C,2,0)</f>
        <v>18</v>
      </c>
      <c r="S11" s="33"/>
      <c r="T11" s="34"/>
      <c r="U11" s="34"/>
      <c r="V11" s="34"/>
      <c r="W11" s="34"/>
      <c r="X11" s="35"/>
      <c r="AB11" s="37"/>
    </row>
    <row r="12" customFormat="false" ht="14.25" hidden="false" customHeight="false" outlineLevel="0" collapsed="false">
      <c r="A12" s="1" t="n">
        <v>8</v>
      </c>
      <c r="B12" s="38" t="s">
        <v>21</v>
      </c>
      <c r="C12" s="3" t="n">
        <v>1</v>
      </c>
      <c r="D12" s="39" t="s">
        <v>14</v>
      </c>
      <c r="E12" s="40"/>
      <c r="F12" s="41"/>
      <c r="G12" s="41"/>
      <c r="H12" s="42"/>
      <c r="J12" s="43" t="str">
        <f aca="false">B12</f>
        <v>QA / Tester</v>
      </c>
      <c r="K12" s="3" t="n">
        <f aca="false">C12</f>
        <v>1</v>
      </c>
      <c r="L12" s="40" t="s">
        <v>14</v>
      </c>
      <c r="M12" s="44" t="n">
        <f aca="false">E12*$K12</f>
        <v>0</v>
      </c>
      <c r="N12" s="45" t="n">
        <f aca="false">F12*$K12</f>
        <v>0</v>
      </c>
      <c r="O12" s="45" t="n">
        <f aca="false">G12*$K12</f>
        <v>0</v>
      </c>
      <c r="P12" s="46" t="n">
        <f aca="false">H12*$K12</f>
        <v>0</v>
      </c>
      <c r="R12" s="32" t="n">
        <f aca="false">VLOOKUP(B12,costos!$B:$C,2,0)</f>
        <v>22</v>
      </c>
      <c r="S12" s="33"/>
      <c r="T12" s="34"/>
      <c r="U12" s="34"/>
      <c r="V12" s="34"/>
      <c r="W12" s="34"/>
      <c r="X12" s="35"/>
      <c r="AB12" s="37"/>
    </row>
    <row r="13" customFormat="false" ht="27.75" hidden="false" customHeight="true" outlineLevel="0" collapsed="false">
      <c r="A13" s="1" t="n">
        <v>9</v>
      </c>
      <c r="B13" s="48" t="s">
        <v>22</v>
      </c>
      <c r="C13" s="49" t="n">
        <v>1</v>
      </c>
      <c r="D13" s="50" t="s">
        <v>14</v>
      </c>
      <c r="E13" s="51"/>
      <c r="F13" s="52"/>
      <c r="G13" s="52"/>
      <c r="H13" s="53"/>
      <c r="J13" s="54" t="str">
        <f aca="false">B13</f>
        <v>Documentador/ Soporte / Capacitación</v>
      </c>
      <c r="K13" s="3" t="n">
        <f aca="false">C13</f>
        <v>1</v>
      </c>
      <c r="L13" s="55" t="s">
        <v>14</v>
      </c>
      <c r="M13" s="56" t="n">
        <f aca="false">E13*$K13</f>
        <v>0</v>
      </c>
      <c r="N13" s="57" t="n">
        <f aca="false">F13*$K13</f>
        <v>0</v>
      </c>
      <c r="O13" s="57" t="n">
        <f aca="false">G13*$K13</f>
        <v>0</v>
      </c>
      <c r="P13" s="58" t="n">
        <f aca="false">H13*$K13</f>
        <v>0</v>
      </c>
      <c r="R13" s="32" t="n">
        <f aca="false">VLOOKUP(B13,costos!$B:$C,2,0)</f>
        <v>15</v>
      </c>
      <c r="S13" s="33"/>
      <c r="T13" s="34"/>
      <c r="U13" s="34"/>
      <c r="V13" s="34"/>
      <c r="W13" s="34"/>
      <c r="X13" s="35"/>
      <c r="AB13" s="37"/>
    </row>
    <row r="14" customFormat="false" ht="14.25" hidden="false" customHeight="false" outlineLevel="0" collapsed="false">
      <c r="J14" s="59" t="s">
        <v>23</v>
      </c>
      <c r="L14" s="40" t="s">
        <v>24</v>
      </c>
      <c r="M14" s="44" t="n">
        <f aca="false">+$R$17</f>
        <v>8928</v>
      </c>
      <c r="N14" s="45" t="n">
        <f aca="false">+$R$17</f>
        <v>8928</v>
      </c>
      <c r="O14" s="45" t="n">
        <f aca="false">+$R$17</f>
        <v>8928</v>
      </c>
      <c r="P14" s="46" t="n">
        <f aca="false">+$R$17</f>
        <v>8928</v>
      </c>
      <c r="T14" s="34"/>
      <c r="U14" s="34"/>
      <c r="V14" s="34"/>
      <c r="W14" s="34"/>
      <c r="X14" s="35"/>
    </row>
    <row r="15" customFormat="false" ht="14.25" hidden="false" customHeight="false" outlineLevel="0" collapsed="false">
      <c r="J15" s="59" t="s">
        <v>25</v>
      </c>
      <c r="K15" s="60" t="n">
        <v>0.1</v>
      </c>
      <c r="L15" s="40" t="s">
        <v>24</v>
      </c>
      <c r="M15" s="44" t="n">
        <f aca="false">+$K$15*M14</f>
        <v>892.8</v>
      </c>
      <c r="N15" s="45" t="n">
        <f aca="false">+$K$15*N14</f>
        <v>892.8</v>
      </c>
      <c r="O15" s="45" t="n">
        <f aca="false">+$K$15*O14</f>
        <v>892.8</v>
      </c>
      <c r="P15" s="46" t="n">
        <f aca="false">+$K$15*P14</f>
        <v>892.8</v>
      </c>
      <c r="T15" s="34"/>
      <c r="U15" s="34"/>
      <c r="V15" s="34"/>
      <c r="W15" s="34"/>
      <c r="X15" s="35"/>
    </row>
    <row r="16" customFormat="false" ht="15" hidden="false" customHeight="true" outlineLevel="0" collapsed="false">
      <c r="J16" s="61" t="s">
        <v>26</v>
      </c>
      <c r="K16" s="62" t="n">
        <v>0.1</v>
      </c>
      <c r="L16" s="51" t="s">
        <v>24</v>
      </c>
      <c r="M16" s="63" t="n">
        <f aca="false">M14*$K$16</f>
        <v>892.8</v>
      </c>
      <c r="N16" s="64" t="n">
        <f aca="false">N14*$K$16</f>
        <v>892.8</v>
      </c>
      <c r="O16" s="64" t="n">
        <f aca="false">O14*$K$16</f>
        <v>892.8</v>
      </c>
      <c r="P16" s="65" t="n">
        <f aca="false">P14*$K$16</f>
        <v>892.8</v>
      </c>
      <c r="R16" s="66"/>
      <c r="T16" s="34"/>
      <c r="U16" s="34"/>
      <c r="V16" s="34"/>
      <c r="W16" s="34"/>
      <c r="X16" s="35"/>
    </row>
    <row r="17" customFormat="false" ht="14.25" hidden="false" customHeight="false" outlineLevel="0" collapsed="false">
      <c r="J17" s="59" t="s">
        <v>23</v>
      </c>
      <c r="K17" s="41"/>
      <c r="L17" s="40" t="s">
        <v>24</v>
      </c>
      <c r="M17" s="29" t="n">
        <f aca="false">SUM(M14:M16)</f>
        <v>10713.6</v>
      </c>
      <c r="N17" s="30" t="n">
        <f aca="false">SUM(N14:N16)</f>
        <v>10713.6</v>
      </c>
      <c r="O17" s="30" t="n">
        <f aca="false">SUM(O14:O16)</f>
        <v>10713.6</v>
      </c>
      <c r="P17" s="31" t="n">
        <f aca="false">SUM(P14:P16)</f>
        <v>10713.6</v>
      </c>
      <c r="R17" s="45" t="n">
        <f aca="false">+SUM(AD5:AG5)/4</f>
        <v>8928</v>
      </c>
    </row>
    <row r="18" customFormat="false" ht="15" hidden="false" customHeight="true" outlineLevel="0" collapsed="false">
      <c r="J18" s="61" t="s">
        <v>27</v>
      </c>
      <c r="K18" s="67" t="n">
        <v>0.1</v>
      </c>
      <c r="L18" s="51" t="s">
        <v>24</v>
      </c>
      <c r="M18" s="68" t="n">
        <f aca="false">M17*$K$18</f>
        <v>1071.36</v>
      </c>
      <c r="N18" s="69" t="n">
        <f aca="false">N17*$K$18</f>
        <v>1071.36</v>
      </c>
      <c r="O18" s="69" t="n">
        <f aca="false">O17*$K$18</f>
        <v>1071.36</v>
      </c>
      <c r="P18" s="70" t="n">
        <f aca="false">P17*$K$18</f>
        <v>1071.36</v>
      </c>
      <c r="R18" s="71" t="n">
        <f aca="false">+P19/P14</f>
        <v>1.32</v>
      </c>
    </row>
    <row r="19" customFormat="false" ht="15" hidden="false" customHeight="true" outlineLevel="0" collapsed="false">
      <c r="J19" s="72" t="s">
        <v>28</v>
      </c>
      <c r="K19" s="17"/>
      <c r="L19" s="16" t="s">
        <v>24</v>
      </c>
      <c r="M19" s="73" t="n">
        <f aca="false">SUM(M17:M18)</f>
        <v>11784.96</v>
      </c>
      <c r="N19" s="74" t="n">
        <f aca="false">SUM(N17:N18)</f>
        <v>11784.96</v>
      </c>
      <c r="O19" s="74" t="n">
        <f aca="false">SUM(O17:O18)</f>
        <v>11784.96</v>
      </c>
      <c r="P19" s="75" t="n">
        <f aca="false">SUM(P17:P18)</f>
        <v>11784.96</v>
      </c>
      <c r="Q19" s="76"/>
      <c r="R19" s="71"/>
    </row>
    <row r="20" customFormat="false" ht="15" hidden="false" customHeight="true" outlineLevel="0" collapsed="false">
      <c r="J20" s="77" t="s">
        <v>29</v>
      </c>
      <c r="K20" s="77"/>
      <c r="L20" s="16" t="s">
        <v>24</v>
      </c>
      <c r="M20" s="78"/>
      <c r="N20" s="79"/>
      <c r="O20" s="79"/>
      <c r="P20" s="80" t="n">
        <f aca="false">+SUM(M19:P19)</f>
        <v>47139.84</v>
      </c>
      <c r="S20" s="81"/>
      <c r="AB20" s="82"/>
      <c r="AC20" s="82"/>
    </row>
    <row r="23" customFormat="false" ht="14.25" hidden="false" customHeight="false" outlineLevel="0" collapsed="false">
      <c r="G23" s="83"/>
      <c r="P23" s="84"/>
    </row>
    <row r="24" customFormat="false" ht="14.25" hidden="false" customHeight="false" outlineLevel="0" collapsed="false">
      <c r="G24" s="83"/>
    </row>
    <row r="25" customFormat="false" ht="14.25" hidden="false" customHeight="false" outlineLevel="0" collapsed="false">
      <c r="O25" s="85" t="s">
        <v>30</v>
      </c>
      <c r="P25" s="86" t="n">
        <f aca="false">+P20/4</f>
        <v>11784.96</v>
      </c>
    </row>
    <row r="26" customFormat="false" ht="14.25" hidden="false" customHeight="false" outlineLevel="0" collapsed="false">
      <c r="O26" s="87" t="s">
        <v>31</v>
      </c>
      <c r="P26" s="86" t="n">
        <f aca="false">+P20/SUM(M5:P13)</f>
        <v>33.8648275862069</v>
      </c>
    </row>
    <row r="27" customFormat="false" ht="14.25" hidden="false" customHeight="false" outlineLevel="0" collapsed="false">
      <c r="O27" s="37" t="s">
        <v>32</v>
      </c>
      <c r="P27" s="88" t="n">
        <f aca="false">+(P20/SUM(K5:K13))/4</f>
        <v>1309.44</v>
      </c>
    </row>
    <row r="29" customFormat="false" ht="15.75" hidden="false" customHeight="true" outlineLevel="0" collapsed="false">
      <c r="J29" s="9"/>
      <c r="K29" s="11"/>
      <c r="L29" s="9"/>
      <c r="O29" s="1"/>
    </row>
    <row r="30" customFormat="false" ht="15" hidden="false" customHeight="true" outlineLevel="0" collapsed="false">
      <c r="J30" s="89"/>
      <c r="K30" s="19"/>
      <c r="L30" s="15"/>
      <c r="M30" s="15"/>
      <c r="N30" s="19"/>
      <c r="O30" s="19"/>
      <c r="P30" s="90"/>
    </row>
    <row r="31" customFormat="false" ht="14.25" hidden="false" customHeight="false" outlineLevel="0" collapsed="false">
      <c r="J31" s="59"/>
      <c r="L31" s="40"/>
      <c r="M31" s="44"/>
      <c r="N31" s="45"/>
      <c r="O31" s="45"/>
      <c r="P31" s="46"/>
    </row>
    <row r="32" customFormat="false" ht="14.25" hidden="false" customHeight="false" outlineLevel="0" collapsed="false">
      <c r="J32" s="59"/>
      <c r="K32" s="60"/>
      <c r="L32" s="40"/>
      <c r="M32" s="44"/>
      <c r="N32" s="45"/>
      <c r="O32" s="45"/>
      <c r="P32" s="46"/>
    </row>
    <row r="33" customFormat="false" ht="15" hidden="false" customHeight="true" outlineLevel="0" collapsed="false">
      <c r="J33" s="61"/>
      <c r="K33" s="62"/>
      <c r="L33" s="51"/>
      <c r="M33" s="63"/>
      <c r="N33" s="64"/>
      <c r="O33" s="64"/>
      <c r="P33" s="65"/>
    </row>
    <row r="34" customFormat="false" ht="14.25" hidden="false" customHeight="false" outlineLevel="0" collapsed="false">
      <c r="J34" s="59"/>
      <c r="K34" s="41"/>
      <c r="L34" s="40"/>
      <c r="M34" s="29"/>
      <c r="N34" s="30"/>
      <c r="O34" s="30"/>
      <c r="P34" s="31"/>
    </row>
    <row r="35" customFormat="false" ht="15" hidden="false" customHeight="true" outlineLevel="0" collapsed="false">
      <c r="J35" s="61"/>
      <c r="K35" s="67"/>
      <c r="L35" s="51"/>
      <c r="M35" s="68"/>
      <c r="N35" s="69"/>
      <c r="O35" s="69"/>
      <c r="P35" s="70"/>
    </row>
    <row r="36" customFormat="false" ht="15" hidden="false" customHeight="true" outlineLevel="0" collapsed="false">
      <c r="J36" s="72"/>
      <c r="K36" s="17"/>
      <c r="L36" s="16"/>
      <c r="M36" s="73"/>
      <c r="N36" s="74"/>
      <c r="O36" s="74"/>
      <c r="P36" s="75"/>
    </row>
    <row r="37" customFormat="false" ht="15" hidden="false" customHeight="true" outlineLevel="0" collapsed="false">
      <c r="J37" s="91"/>
      <c r="K37" s="78"/>
      <c r="L37" s="91"/>
      <c r="M37" s="78"/>
      <c r="N37" s="79"/>
      <c r="O37" s="79"/>
      <c r="P37" s="80"/>
    </row>
  </sheetData>
  <mergeCells count="4">
    <mergeCell ref="B1:J1"/>
    <mergeCell ref="E3:H3"/>
    <mergeCell ref="M3:P3"/>
    <mergeCell ref="J20:K2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8.6171875" defaultRowHeight="14.25" customHeight="false" zeroHeight="false" outlineLevelRow="0" outlineLevelCol="0"/>
  <cols>
    <col collapsed="false" customWidth="true" hidden="false" outlineLevel="0" max="2" min="2" style="0" width="50.34"/>
  </cols>
  <sheetData>
    <row r="1" customFormat="false" ht="14.25" hidden="false" customHeight="false" outlineLevel="0" collapsed="false">
      <c r="B1" s="37" t="s">
        <v>5</v>
      </c>
      <c r="C1" s="37" t="s">
        <v>31</v>
      </c>
    </row>
    <row r="2" customFormat="false" ht="14.25" hidden="false" customHeight="false" outlineLevel="0" collapsed="false">
      <c r="B2" s="92" t="s">
        <v>13</v>
      </c>
      <c r="C2" s="87" t="n">
        <v>32</v>
      </c>
    </row>
    <row r="3" customFormat="false" ht="14.25" hidden="false" customHeight="false" outlineLevel="0" collapsed="false">
      <c r="B3" s="92" t="s">
        <v>15</v>
      </c>
      <c r="C3" s="87" t="n">
        <v>25</v>
      </c>
    </row>
    <row r="4" customFormat="false" ht="14.25" hidden="false" customHeight="false" outlineLevel="0" collapsed="false">
      <c r="B4" s="92" t="s">
        <v>16</v>
      </c>
      <c r="C4" s="87" t="n">
        <v>25</v>
      </c>
    </row>
    <row r="5" customFormat="false" ht="14.25" hidden="false" customHeight="false" outlineLevel="0" collapsed="false">
      <c r="B5" s="92" t="s">
        <v>17</v>
      </c>
      <c r="C5" s="87" t="n">
        <v>28</v>
      </c>
    </row>
    <row r="6" customFormat="false" ht="14.25" hidden="false" customHeight="false" outlineLevel="0" collapsed="false">
      <c r="B6" s="92" t="s">
        <v>18</v>
      </c>
      <c r="C6" s="87" t="n">
        <v>18</v>
      </c>
    </row>
    <row r="7" customFormat="false" ht="14.25" hidden="false" customHeight="false" outlineLevel="0" collapsed="false">
      <c r="B7" s="92" t="s">
        <v>19</v>
      </c>
      <c r="C7" s="87" t="n">
        <v>20</v>
      </c>
    </row>
    <row r="8" customFormat="false" ht="14.25" hidden="false" customHeight="false" outlineLevel="0" collapsed="false">
      <c r="B8" s="92" t="s">
        <v>20</v>
      </c>
      <c r="C8" s="87" t="n">
        <v>18</v>
      </c>
    </row>
    <row r="9" customFormat="false" ht="14.25" hidden="false" customHeight="false" outlineLevel="0" collapsed="false">
      <c r="B9" s="92" t="s">
        <v>21</v>
      </c>
      <c r="C9" s="87" t="n">
        <v>22</v>
      </c>
    </row>
    <row r="10" customFormat="false" ht="14.25" hidden="false" customHeight="false" outlineLevel="0" collapsed="false">
      <c r="B10" s="92" t="s">
        <v>22</v>
      </c>
      <c r="C10" s="87" t="n">
        <v>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sheetData>
    <row r="1" customFormat="false" ht="15" hidden="false" customHeight="false" outlineLevel="0" collapsed="false">
      <c r="A1" s="0" t="s">
        <v>33</v>
      </c>
      <c r="B1" s="0" t="s">
        <v>34</v>
      </c>
      <c r="C1" s="0" t="s">
        <v>35</v>
      </c>
      <c r="D1" s="0" t="s">
        <v>36</v>
      </c>
      <c r="E1" s="0" t="s">
        <v>37</v>
      </c>
      <c r="F1" s="0" t="s">
        <v>38</v>
      </c>
    </row>
    <row r="2" customFormat="false" ht="15" hidden="false" customHeight="false" outlineLevel="0" collapsed="false">
      <c r="A2" s="0" t="s">
        <v>39</v>
      </c>
      <c r="B2" s="0" t="n">
        <f aca="false">SUMPRODUCT(('Propuesta Modelo'!M5:M13&gt;0)*'Propuesta Modelo'!$K$5:$K$13)</f>
        <v>5</v>
      </c>
      <c r="C2" s="0" t="n">
        <f aca="false">SUM('Propuesta Modelo'!M5:M13)</f>
        <v>480</v>
      </c>
      <c r="D2" s="0" t="n">
        <f aca="false">IF(C2=0,0,E2/C2)</f>
        <v>25.7333333333333</v>
      </c>
      <c r="E2" s="0" t="n">
        <f aca="false">'Propuesta Modelo'!AD5</f>
        <v>12352</v>
      </c>
      <c r="F2" s="0" t="n">
        <f aca="false">E2*(1+'Propuesta Modelo'!$K$15+'Propuesta Modelo'!$K$16)*(1+'Propuesta Modelo'!$K$18)</f>
        <v>16304.64</v>
      </c>
    </row>
    <row r="3" customFormat="false" ht="15" hidden="false" customHeight="false" outlineLevel="0" collapsed="false">
      <c r="A3" s="0" t="s">
        <v>40</v>
      </c>
      <c r="B3" s="0" t="n">
        <f aca="false">SUMPRODUCT(('Propuesta Modelo'!N5:N13&gt;0)*'Propuesta Modelo'!$K$5:$K$13)</f>
        <v>5</v>
      </c>
      <c r="C3" s="0" t="n">
        <f aca="false">SUM('Propuesta Modelo'!N5:N13)</f>
        <v>480</v>
      </c>
      <c r="D3" s="0" t="n">
        <f aca="false">IF(C3=0,0,E3/C3)</f>
        <v>25.7333333333333</v>
      </c>
      <c r="E3" s="0" t="n">
        <f aca="false">'Propuesta Modelo'!AE5</f>
        <v>12352</v>
      </c>
      <c r="F3" s="0" t="n">
        <f aca="false">E3*(1+'Propuesta Modelo'!$K$15+'Propuesta Modelo'!$K$16)*(1+'Propuesta Modelo'!$K$18)</f>
        <v>16304.64</v>
      </c>
    </row>
    <row r="4" customFormat="false" ht="15" hidden="false" customHeight="false" outlineLevel="0" collapsed="false">
      <c r="A4" s="0" t="s">
        <v>41</v>
      </c>
      <c r="B4" s="0" t="n">
        <f aca="false">SUMPRODUCT(('Propuesta Modelo'!O5:O13&gt;0)*'Propuesta Modelo'!$K$5:$K$13)</f>
        <v>5</v>
      </c>
      <c r="C4" s="0" t="n">
        <f aca="false">SUM('Propuesta Modelo'!O5:O13)</f>
        <v>432</v>
      </c>
      <c r="D4" s="0" t="n">
        <f aca="false">IF(C4=0,0,E4/C4)</f>
        <v>25.4814814814815</v>
      </c>
      <c r="E4" s="0" t="n">
        <f aca="false">'Propuesta Modelo'!AF5</f>
        <v>11008</v>
      </c>
      <c r="F4" s="0" t="n">
        <f aca="false">E4*(1+'Propuesta Modelo'!$K$15+'Propuesta Modelo'!$K$16)*(1+'Propuesta Modelo'!$K$18)</f>
        <v>14530.56</v>
      </c>
    </row>
    <row r="5" customFormat="false" ht="15" hidden="false" customHeight="false" outlineLevel="0" collapsed="false">
      <c r="A5" s="0" t="s">
        <v>42</v>
      </c>
      <c r="B5" s="0" t="n">
        <f aca="false">SUMPRODUCT(('Propuesta Modelo'!P5:P13&gt;0)*'Propuesta Modelo'!$K$5:$K$13)</f>
        <v>0</v>
      </c>
      <c r="C5" s="0" t="n">
        <f aca="false">SUM('Propuesta Modelo'!P5:P13)</f>
        <v>0</v>
      </c>
      <c r="D5" s="0" t="n">
        <f aca="false">IF(C5=0,0,E5/C5)</f>
        <v>0</v>
      </c>
      <c r="E5" s="0" t="n">
        <f aca="false">'Propuesta Modelo'!AG5</f>
        <v>0</v>
      </c>
      <c r="F5" s="0" t="n">
        <f aca="false">E5*(1+'Propuesta Modelo'!$K$15+'Propuesta Modelo'!$K$16)*(1+'Propuesta Modelo'!$K$18)</f>
        <v>0</v>
      </c>
    </row>
    <row r="6" customFormat="false" ht="15" hidden="false" customHeight="false" outlineLevel="0" collapsed="false">
      <c r="A6" s="0" t="s">
        <v>43</v>
      </c>
      <c r="B6" s="0" t="n">
        <f aca="false">MAX(B2:B5)</f>
        <v>5</v>
      </c>
      <c r="C6" s="0" t="n">
        <f aca="false">SUM(C2:C5)</f>
        <v>1392</v>
      </c>
      <c r="D6" s="0" t="n">
        <f aca="false">IF(C6=0,0,E6/C6)</f>
        <v>25.6551724137931</v>
      </c>
      <c r="E6" s="0" t="n">
        <f aca="false">SUM(E2:E5)</f>
        <v>35712</v>
      </c>
      <c r="F6" s="0" t="n">
        <f aca="false">SUM(F2:F5)</f>
        <v>47139.84</v>
      </c>
    </row>
    <row r="8" customFormat="false" ht="15" hidden="false" customHeight="false" outlineLevel="0" collapsed="false">
      <c r="A8" s="0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2026-07-13T16:05:57Z</dcterms:created>
  <dc:creator>Ignacio Uribe</dc:creator>
  <dc:description/>
  <dc:language>en-US</dc:language>
  <cp:lastModifiedBy/>
  <dcterms:modified xsi:type="dcterms:W3CDTF">2026-07-14T17:58:56Z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