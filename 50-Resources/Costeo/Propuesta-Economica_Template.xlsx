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ropuesta Modelo" sheetId="1" state="visible" r:id="rId1"/>
    <sheet xmlns:r="http://schemas.openxmlformats.org/officeDocument/2006/relationships" name="costos" sheetId="2" state="visible" r:id="rId2"/>
    <sheet xmlns:r="http://schemas.openxmlformats.org/officeDocument/2006/relationships" name="Resumen Mensu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-* #,##0.00_-;\-* #,##0.00_-;_-* &quot;-&quot;??_-;_-@_-"/>
    <numFmt numFmtId="166" formatCode="_-* #,##0.00\ _€_-;\-* #,##0.00\ _€_-;_-* &quot;-&quot;??\ _€_-;_-@_-"/>
    <numFmt numFmtId="167" formatCode="_-* #,##0_-;\-* #,##0_-;_-* &quot;-&quot;??_-;_-@_-"/>
    <numFmt numFmtId="168" formatCode="0.0%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ova Cond"/>
      <family val="2"/>
      <b val="1"/>
      <color theme="1"/>
      <sz val="12"/>
    </font>
    <font>
      <name val="Arial Nova Cond"/>
      <family val="2"/>
      <color theme="1"/>
      <sz val="11"/>
    </font>
    <font>
      <name val="Arial Nova Cond"/>
      <family val="2"/>
      <b val="1"/>
      <color rgb="FF002060"/>
      <sz val="12"/>
    </font>
    <font>
      <name val="Arial Nova Cond"/>
      <family val="2"/>
      <b val="1"/>
      <color theme="1"/>
      <sz val="10"/>
    </font>
    <font>
      <name val="Arial Nova Cond"/>
      <family val="2"/>
      <color theme="1"/>
      <sz val="10"/>
    </font>
    <font>
      <name val="Arial Nova Cond"/>
      <family val="2"/>
      <color rgb="FFFF0000"/>
      <sz val="11"/>
    </font>
    <font>
      <name val="Arial Nova Cond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7" pivotButton="0" quotePrefix="0" xfId="0"/>
    <xf numFmtId="0" fontId="5" fillId="3" borderId="5" pivotButton="0" quotePrefix="0" xfId="0"/>
    <xf numFmtId="0" fontId="5" fillId="3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indent="1"/>
    </xf>
    <xf numFmtId="0" fontId="3" fillId="0" borderId="2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 wrapText="1" indent="1"/>
    </xf>
    <xf numFmtId="164" fontId="6" fillId="0" borderId="1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/>
    </xf>
    <xf numFmtId="164" fontId="6" fillId="0" borderId="3" applyAlignment="1" pivotButton="0" quotePrefix="0" xfId="1">
      <alignment horizontal="center" vertical="center"/>
    </xf>
    <xf numFmtId="165" fontId="0" fillId="0" borderId="9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6" fontId="0" fillId="0" borderId="0" pivotButton="0" quotePrefix="0" xfId="0"/>
    <xf numFmtId="167" fontId="0" fillId="0" borderId="0" pivotButton="0" quotePrefix="0" xfId="1"/>
    <xf numFmtId="0" fontId="3" fillId="0" borderId="10" applyAlignment="1" pivotButton="0" quotePrefix="0" xfId="0">
      <alignment horizontal="left" indent="1"/>
    </xf>
    <xf numFmtId="0" fontId="3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wrapText="1" indent="1"/>
    </xf>
    <xf numFmtId="164" fontId="6" fillId="0" borderId="1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12" applyAlignment="1" pivotButton="0" quotePrefix="0" xfId="1">
      <alignment horizontal="center" vertical="center"/>
    </xf>
    <xf numFmtId="0" fontId="7" fillId="0" borderId="10" applyAlignment="1" pivotButton="0" quotePrefix="0" xfId="0">
      <alignment horizontal="left" indent="1"/>
    </xf>
    <xf numFmtId="0" fontId="3" fillId="0" borderId="13" applyAlignment="1" pivotButton="0" quotePrefix="0" xfId="0">
      <alignment horizontal="left" indent="1"/>
    </xf>
    <xf numFmtId="0" fontId="3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 wrapText="1" indent="1"/>
    </xf>
    <xf numFmtId="0" fontId="6" fillId="0" borderId="18" applyAlignment="1" pivotButton="0" quotePrefix="0" xfId="0">
      <alignment horizontal="center" vertical="center"/>
    </xf>
    <xf numFmtId="164" fontId="6" fillId="0" borderId="18" applyAlignment="1" pivotButton="0" quotePrefix="0" xfId="1">
      <alignment horizontal="center" vertical="center"/>
    </xf>
    <xf numFmtId="164" fontId="6" fillId="0" borderId="19" applyAlignment="1" pivotButton="0" quotePrefix="0" xfId="1">
      <alignment horizontal="center" vertical="center"/>
    </xf>
    <xf numFmtId="164" fontId="6" fillId="0" borderId="20" applyAlignment="1" pivotButton="0" quotePrefix="0" xfId="1">
      <alignment horizontal="center" vertical="center"/>
    </xf>
    <xf numFmtId="0" fontId="6" fillId="0" borderId="10" applyAlignment="1" pivotButton="0" quotePrefix="0" xfId="0">
      <alignment horizontal="left" vertical="center" wrapText="1" indent="1"/>
    </xf>
    <xf numFmtId="164" fontId="6" fillId="0" borderId="1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12" applyAlignment="1" pivotButton="0" quotePrefix="0" xfId="1">
      <alignment horizontal="center" vertical="center"/>
    </xf>
    <xf numFmtId="9" fontId="6" fillId="0" borderId="0" applyAlignment="1" pivotButton="0" quotePrefix="0" xfId="2">
      <alignment horizontal="center" vertical="center"/>
    </xf>
    <xf numFmtId="0" fontId="6" fillId="0" borderId="13" applyAlignment="1" pivotButton="0" quotePrefix="0" xfId="0">
      <alignment horizontal="left" vertical="center" wrapText="1" indent="1"/>
    </xf>
    <xf numFmtId="9" fontId="6" fillId="0" borderId="14" applyAlignment="1" pivotButton="0" quotePrefix="0" xfId="2">
      <alignment horizontal="center" vertical="center"/>
    </xf>
    <xf numFmtId="164" fontId="6" fillId="0" borderId="15" applyAlignment="1" pivotButton="0" quotePrefix="0" xfId="1">
      <alignment horizontal="center" vertical="center"/>
    </xf>
    <xf numFmtId="164" fontId="6" fillId="0" borderId="14" applyAlignment="1" pivotButton="0" quotePrefix="0" xfId="1">
      <alignment horizontal="center" vertical="center"/>
    </xf>
    <xf numFmtId="164" fontId="6" fillId="0" borderId="16" applyAlignment="1" pivotButton="0" quotePrefix="0" xfId="1">
      <alignment horizontal="center" vertical="center"/>
    </xf>
    <xf numFmtId="164" fontId="6" fillId="2" borderId="0" applyAlignment="1" pivotButton="0" quotePrefix="0" xfId="1">
      <alignment horizontal="center" vertical="center"/>
    </xf>
    <xf numFmtId="9" fontId="6" fillId="0" borderId="14" applyAlignment="1" pivotButton="0" quotePrefix="0" xfId="0">
      <alignment horizontal="center" vertical="center"/>
    </xf>
    <xf numFmtId="164" fontId="6" fillId="0" borderId="15" pivotButton="0" quotePrefix="0" xfId="0"/>
    <xf numFmtId="164" fontId="6" fillId="0" borderId="14" pivotButton="0" quotePrefix="0" xfId="0"/>
    <xf numFmtId="164" fontId="6" fillId="0" borderId="16" pivotButton="0" quotePrefix="0" xfId="0"/>
    <xf numFmtId="165" fontId="0" fillId="0" borderId="0" pivotButton="0" quotePrefix="0" xfId="0"/>
    <xf numFmtId="0" fontId="6" fillId="0" borderId="7" applyAlignment="1" pivotButton="0" quotePrefix="0" xfId="0">
      <alignment horizontal="left" vertical="center" wrapText="1" indent="1"/>
    </xf>
    <xf numFmtId="164" fontId="6" fillId="0" borderId="4" pivotButton="0" quotePrefix="0" xfId="0"/>
    <xf numFmtId="164" fontId="6" fillId="0" borderId="5" pivotButton="0" quotePrefix="0" xfId="0"/>
    <xf numFmtId="164" fontId="6" fillId="0" borderId="6" pivotButton="0" quotePrefix="0" xfId="0"/>
    <xf numFmtId="164" fontId="0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8" fillId="3" borderId="4" applyAlignment="1" pivotButton="0" quotePrefix="0" xfId="0">
      <alignment vertical="center"/>
    </xf>
    <xf numFmtId="164" fontId="8" fillId="3" borderId="5" applyAlignment="1" pivotButton="0" quotePrefix="0" xfId="0">
      <alignment vertical="center"/>
    </xf>
    <xf numFmtId="164" fontId="8" fillId="3" borderId="6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8" fontId="0" fillId="0" borderId="0" pivotButton="0" quotePrefix="0" xfId="2"/>
    <xf numFmtId="9" fontId="3" fillId="0" borderId="0" pivotButton="0" quotePrefix="0" xfId="0"/>
    <xf numFmtId="164" fontId="3" fillId="0" borderId="0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165" fontId="0" fillId="0" borderId="9" pivotButton="0" quotePrefix="0" xfId="1"/>
    <xf numFmtId="0" fontId="5" fillId="3" borderId="7" applyAlignment="1" pivotButton="0" quotePrefix="0" xfId="0">
      <alignment horizontal="center"/>
    </xf>
    <xf numFmtId="0" fontId="5" fillId="3" borderId="6" applyAlignment="1" pivotButton="0" quotePrefix="0" xfId="0">
      <alignment horizontal="center" vertical="center"/>
    </xf>
    <xf numFmtId="9" fontId="6" fillId="0" borderId="0" applyAlignment="1" pivotButton="0" quotePrefix="0" xfId="2">
      <alignment horizontal="center" vertical="center"/>
    </xf>
    <xf numFmtId="164" fontId="8" fillId="3" borderId="4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9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1"/>
    <xf numFmtId="165" fontId="0" fillId="0" borderId="0" pivotButton="0" quotePrefix="0" xfId="0"/>
    <xf numFmtId="168" fontId="0" fillId="0" borderId="0" pivotButton="0" quotePrefix="0" xfId="2"/>
    <xf numFmtId="165" fontId="0" fillId="0" borderId="9" applyAlignment="1" pivotButton="0" quotePrefix="0" xfId="0">
      <alignment horizontal="center"/>
    </xf>
    <xf numFmtId="165" fontId="0" fillId="0" borderId="9" pivotButton="0" quotePrefix="0" xfId="1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"/>
  <sheetViews>
    <sheetView showGridLines="0" tabSelected="1" zoomScale="85" zoomScaleNormal="85" workbookViewId="0">
      <selection activeCell="B2" sqref="B2"/>
    </sheetView>
  </sheetViews>
  <sheetFormatPr baseColWidth="8" defaultColWidth="9.44140625" defaultRowHeight="14.4"/>
  <cols>
    <col width="3.88671875" customWidth="1" style="6" min="1" max="1"/>
    <col width="35.77734375" customWidth="1" style="11" min="2" max="2"/>
    <col width="8.109375" bestFit="1" customWidth="1" style="11" min="3" max="3"/>
    <col width="16.44140625" bestFit="1" customWidth="1" style="11" min="4" max="4"/>
    <col width="8.44140625" customWidth="1" style="11" min="5" max="8"/>
    <col width="4.21875" customWidth="1" style="11" min="9" max="9"/>
    <col width="33.33203125" customWidth="1" style="11" min="10" max="10"/>
    <col hidden="1" width="6.77734375" customWidth="1" style="42" min="11" max="11"/>
    <col width="6.6640625" bestFit="1" customWidth="1" style="11" min="12" max="12"/>
    <col width="10.109375" customWidth="1" style="11" min="13" max="15"/>
    <col width="14" customWidth="1" style="11" min="16" max="16"/>
    <col width="3.77734375" customWidth="1" min="17" max="17"/>
    <col width="13.44140625" bestFit="1" customWidth="1" min="18" max="18"/>
    <col width="11.44140625" customWidth="1" style="6" min="19" max="19"/>
    <col hidden="1" width="11.44140625" customWidth="1" min="20" max="21"/>
    <col hidden="1" width="12.44140625" customWidth="1" min="22" max="22"/>
    <col hidden="1" width="15.44140625" customWidth="1" min="23" max="23"/>
    <col hidden="1" width="9.44140625" customWidth="1" min="24" max="24"/>
    <col hidden="1" width="13" customWidth="1" min="25" max="27"/>
  </cols>
  <sheetData>
    <row r="1" ht="15.6" customHeight="1">
      <c r="A1" s="1" t="n"/>
      <c r="B1" s="2" t="inlineStr">
        <is>
          <t>PLANTILLA DE PROPUESTA ECONÓMICA — completar Cantidad y HH por mes por perfil; el costo/hora se trae automáticamente de la hoja 'costos'.</t>
        </is>
      </c>
      <c r="K1" s="3" t="n"/>
      <c r="L1" s="4" t="n"/>
      <c r="M1" s="4" t="n"/>
      <c r="N1" s="4" t="n"/>
      <c r="O1" s="4" t="n"/>
      <c r="P1" s="4" t="n"/>
      <c r="Q1" s="5" t="n"/>
      <c r="R1" s="5" t="n"/>
      <c r="S1" s="1" t="n"/>
      <c r="T1" s="5" t="n"/>
      <c r="U1" s="5" t="n"/>
      <c r="V1" s="5" t="n"/>
    </row>
    <row r="2" ht="15" customHeight="1" thickBot="1">
      <c r="K2" s="6" t="n"/>
    </row>
    <row r="3" ht="16.2" customHeight="1" thickBot="1">
      <c r="B3" s="7" t="inlineStr">
        <is>
          <t xml:space="preserve"> </t>
        </is>
      </c>
      <c r="C3" s="7" t="n"/>
      <c r="D3" s="7" t="n"/>
      <c r="E3" s="23" t="inlineStr">
        <is>
          <t>MES - Personal</t>
        </is>
      </c>
      <c r="F3" s="104" t="n"/>
      <c r="G3" s="104" t="n"/>
      <c r="H3" s="105" t="n"/>
      <c r="J3" s="7" t="inlineStr">
        <is>
          <t xml:space="preserve"> </t>
        </is>
      </c>
      <c r="K3" s="12" t="n"/>
      <c r="L3" s="7" t="n"/>
      <c r="M3" s="24" t="inlineStr">
        <is>
          <t>MES - Personal total</t>
        </is>
      </c>
      <c r="N3" s="106" t="n"/>
      <c r="O3" s="106" t="n"/>
      <c r="P3" s="107" t="n"/>
      <c r="R3" t="inlineStr">
        <is>
          <t>Dolar</t>
        </is>
      </c>
      <c r="S3" s="6" t="n">
        <v>3.5</v>
      </c>
    </row>
    <row r="4" ht="15" customHeight="1" thickBot="1">
      <c r="B4" s="16" t="inlineStr">
        <is>
          <t>Profesional</t>
        </is>
      </c>
      <c r="C4" s="17" t="inlineStr">
        <is>
          <t>Cantidad</t>
        </is>
      </c>
      <c r="D4" s="18" t="inlineStr">
        <is>
          <t>Unidad</t>
        </is>
      </c>
      <c r="E4" s="19" t="n">
        <v>1</v>
      </c>
      <c r="F4" s="20" t="n">
        <v>2</v>
      </c>
      <c r="G4" s="20" t="n">
        <v>3</v>
      </c>
      <c r="H4" s="21" t="n">
        <v>4</v>
      </c>
      <c r="J4" s="16" t="inlineStr">
        <is>
          <t>Profesional</t>
        </is>
      </c>
      <c r="K4" s="22" t="inlineStr">
        <is>
          <t>Cantidad</t>
        </is>
      </c>
      <c r="L4" s="18" t="inlineStr">
        <is>
          <t>Unidad</t>
        </is>
      </c>
      <c r="M4" s="19" t="n">
        <v>1</v>
      </c>
      <c r="N4" s="20" t="n">
        <v>2</v>
      </c>
      <c r="O4" s="20" t="n">
        <v>3</v>
      </c>
      <c r="P4" s="21" t="n">
        <v>4</v>
      </c>
      <c r="R4" s="23" t="inlineStr">
        <is>
          <t>Costo Horario</t>
        </is>
      </c>
      <c r="T4" s="24" t="n"/>
      <c r="U4" s="25" t="n"/>
      <c r="V4" s="25" t="n"/>
      <c r="W4" s="25" t="n"/>
      <c r="AB4" s="23" t="n"/>
      <c r="AD4" s="102" t="inlineStr">
        <is>
          <t>MES 1</t>
        </is>
      </c>
      <c r="AE4" s="102" t="inlineStr">
        <is>
          <t>MES 2</t>
        </is>
      </c>
      <c r="AF4" s="102" t="inlineStr">
        <is>
          <t>MES 3</t>
        </is>
      </c>
      <c r="AG4" s="102" t="inlineStr">
        <is>
          <t>MES 4</t>
        </is>
      </c>
    </row>
    <row r="5">
      <c r="A5" s="6" t="n">
        <v>1</v>
      </c>
      <c r="B5" s="26" t="inlineStr">
        <is>
          <t>Líder del Proyecto</t>
        </is>
      </c>
      <c r="C5" s="27" t="n">
        <v>1</v>
      </c>
      <c r="D5" s="28" t="inlineStr">
        <is>
          <t>HH</t>
        </is>
      </c>
      <c r="E5" s="29" t="n"/>
      <c r="F5" s="30" t="n"/>
      <c r="G5" s="30" t="n"/>
      <c r="H5" s="31" t="n"/>
      <c r="J5" s="32">
        <f>B5</f>
        <v/>
      </c>
      <c r="K5" s="27">
        <f>C5</f>
        <v/>
      </c>
      <c r="L5" s="29" t="inlineStr">
        <is>
          <t>HH</t>
        </is>
      </c>
      <c r="M5" s="33">
        <f>E5*$K5</f>
        <v/>
      </c>
      <c r="N5" s="34">
        <f>F5*$K5</f>
        <v/>
      </c>
      <c r="O5" s="34">
        <f>G5*$K5</f>
        <v/>
      </c>
      <c r="P5" s="35">
        <f>H5*$K5</f>
        <v/>
      </c>
      <c r="R5" s="108">
        <f>VLOOKUP(B5,costos!$B:$C,2,0)</f>
        <v/>
      </c>
      <c r="S5" s="109" t="n"/>
      <c r="T5" s="38" t="n"/>
      <c r="U5" s="38" t="n"/>
      <c r="V5" s="38" t="n"/>
      <c r="W5" s="38" t="n"/>
      <c r="X5" s="110" t="n"/>
      <c r="Y5" s="111" t="n"/>
      <c r="AB5" s="96" t="n"/>
      <c r="AD5" s="96">
        <f>+SUMPRODUCT(M5:M13,$R$5:$R$13)</f>
        <v/>
      </c>
      <c r="AE5" s="96">
        <f>+SUMPRODUCT(N5:N13,$R$5:$R$13)</f>
        <v/>
      </c>
      <c r="AF5" s="96">
        <f>+SUMPRODUCT(O5:O13,$R$5:$R$13)</f>
        <v/>
      </c>
      <c r="AG5" s="96">
        <f>+SUMPRODUCT(P5:P13,$R$5:$R$13)</f>
        <v/>
      </c>
    </row>
    <row r="6">
      <c r="A6" s="6" t="n">
        <v>2</v>
      </c>
      <c r="B6" s="41" t="inlineStr">
        <is>
          <t>Ingeniero de Datos</t>
        </is>
      </c>
      <c r="C6" s="42" t="n">
        <v>1</v>
      </c>
      <c r="D6" s="43" t="inlineStr">
        <is>
          <t>HH</t>
        </is>
      </c>
      <c r="E6" s="44" t="n"/>
      <c r="F6" s="45" t="n"/>
      <c r="G6" s="45" t="n"/>
      <c r="H6" s="46" t="n"/>
      <c r="J6" s="47">
        <f>B6</f>
        <v/>
      </c>
      <c r="K6" s="42">
        <f>C6</f>
        <v/>
      </c>
      <c r="L6" s="44" t="inlineStr">
        <is>
          <t>HH</t>
        </is>
      </c>
      <c r="M6" s="64">
        <f>E6*$K6</f>
        <v/>
      </c>
      <c r="N6" s="65">
        <f>F6*$K6</f>
        <v/>
      </c>
      <c r="O6" s="65">
        <f>G6*$K6</f>
        <v/>
      </c>
      <c r="P6" s="66">
        <f>H6*$K6</f>
        <v/>
      </c>
      <c r="R6" s="108">
        <f>VLOOKUP(B6,costos!$B:$C,2,0)</f>
        <v/>
      </c>
      <c r="S6" s="109" t="n"/>
      <c r="T6" s="38" t="n"/>
      <c r="U6" s="38" t="n"/>
      <c r="V6" s="38" t="n"/>
      <c r="W6" s="38" t="n"/>
      <c r="X6" s="110" t="n"/>
      <c r="AB6" s="96" t="n"/>
    </row>
    <row r="7" ht="27.6" customHeight="1">
      <c r="A7" s="6" t="n">
        <v>3</v>
      </c>
      <c r="B7" s="41" t="inlineStr">
        <is>
          <t>Desarrollador Backend</t>
        </is>
      </c>
      <c r="C7" s="42" t="n">
        <v>1</v>
      </c>
      <c r="D7" s="43" t="inlineStr">
        <is>
          <t>HH</t>
        </is>
      </c>
      <c r="E7" s="44" t="n"/>
      <c r="F7" s="45" t="n"/>
      <c r="G7" s="45" t="n"/>
      <c r="H7" s="46" t="n"/>
      <c r="J7" s="47">
        <f>B7</f>
        <v/>
      </c>
      <c r="K7" s="42">
        <f>C7</f>
        <v/>
      </c>
      <c r="L7" s="44" t="inlineStr">
        <is>
          <t>HH</t>
        </is>
      </c>
      <c r="M7" s="64">
        <f>E7*$K7</f>
        <v/>
      </c>
      <c r="N7" s="65">
        <f>F7*$K7</f>
        <v/>
      </c>
      <c r="O7" s="65">
        <f>G7*$K7</f>
        <v/>
      </c>
      <c r="P7" s="66">
        <f>H7*$K7</f>
        <v/>
      </c>
      <c r="R7" s="108">
        <f>VLOOKUP(B7,costos!$B:$C,2,0)</f>
        <v/>
      </c>
      <c r="S7" s="109" t="n"/>
      <c r="T7" s="38" t="n"/>
      <c r="U7" s="38" t="n"/>
      <c r="V7" s="38" t="n"/>
      <c r="W7" s="38" t="n"/>
      <c r="X7" s="110" t="n"/>
      <c r="AB7" s="96" t="n"/>
    </row>
    <row r="8" ht="27.6" customHeight="1">
      <c r="A8" s="6" t="n">
        <v>4</v>
      </c>
      <c r="B8" s="41" t="inlineStr">
        <is>
          <t>Científico de Datos / Modelador de Reglas</t>
        </is>
      </c>
      <c r="C8" s="42" t="n">
        <v>1</v>
      </c>
      <c r="D8" s="43" t="inlineStr">
        <is>
          <t>HH</t>
        </is>
      </c>
      <c r="E8" s="44" t="n"/>
      <c r="F8" s="45" t="n"/>
      <c r="G8" s="45" t="n"/>
      <c r="H8" s="46" t="n"/>
      <c r="J8" s="47">
        <f>B8</f>
        <v/>
      </c>
      <c r="K8" s="42">
        <f>C8</f>
        <v/>
      </c>
      <c r="L8" s="44" t="inlineStr">
        <is>
          <t>HH</t>
        </is>
      </c>
      <c r="M8" s="64">
        <f>E8*$K8</f>
        <v/>
      </c>
      <c r="N8" s="65">
        <f>F8*$K8</f>
        <v/>
      </c>
      <c r="O8" s="65">
        <f>G8*$K8</f>
        <v/>
      </c>
      <c r="P8" s="66">
        <f>H8*$K8</f>
        <v/>
      </c>
      <c r="R8" s="108">
        <f>VLOOKUP(B8,costos!$B:$C,2,0)</f>
        <v/>
      </c>
      <c r="S8" s="109" t="n"/>
      <c r="T8" s="38" t="n"/>
      <c r="U8" s="38" t="n"/>
      <c r="V8" s="38" t="n"/>
      <c r="W8" s="38" t="n"/>
      <c r="X8" s="110" t="n"/>
      <c r="AB8" s="96" t="n"/>
    </row>
    <row r="9">
      <c r="A9" s="6" t="n">
        <v>5</v>
      </c>
      <c r="B9" s="51" t="inlineStr">
        <is>
          <t>Modelador 3D / CAD Industrial</t>
        </is>
      </c>
      <c r="C9" s="42" t="n">
        <v>1</v>
      </c>
      <c r="D9" s="43" t="inlineStr">
        <is>
          <t>HH</t>
        </is>
      </c>
      <c r="E9" s="44" t="n"/>
      <c r="F9" s="45" t="n"/>
      <c r="G9" s="45" t="n"/>
      <c r="H9" s="46" t="n"/>
      <c r="J9" s="47">
        <f>B9</f>
        <v/>
      </c>
      <c r="K9" s="42">
        <f>C9</f>
        <v/>
      </c>
      <c r="L9" s="44" t="inlineStr">
        <is>
          <t>HH</t>
        </is>
      </c>
      <c r="M9" s="64">
        <f>E9*$K9</f>
        <v/>
      </c>
      <c r="N9" s="65">
        <f>F9*$K9</f>
        <v/>
      </c>
      <c r="O9" s="65">
        <f>G9*$K9</f>
        <v/>
      </c>
      <c r="P9" s="66">
        <f>H9*$K9</f>
        <v/>
      </c>
      <c r="R9" s="108">
        <f>VLOOKUP(B9,costos!$B:$C,2,0)</f>
        <v/>
      </c>
      <c r="S9" s="109" t="n"/>
      <c r="T9" s="38" t="n"/>
      <c r="U9" s="38" t="n"/>
      <c r="V9" s="38" t="n"/>
      <c r="W9" s="38" t="n"/>
      <c r="X9" s="110" t="n"/>
      <c r="AB9" s="96" t="n"/>
    </row>
    <row r="10">
      <c r="A10" s="6" t="n">
        <v>6</v>
      </c>
      <c r="B10" s="41" t="inlineStr">
        <is>
          <t>Desarrollador Frontend 3D</t>
        </is>
      </c>
      <c r="C10" s="42" t="n">
        <v>1</v>
      </c>
      <c r="D10" s="43" t="inlineStr">
        <is>
          <t>HH</t>
        </is>
      </c>
      <c r="E10" s="44" t="n"/>
      <c r="F10" s="45" t="n"/>
      <c r="G10" s="45" t="n"/>
      <c r="H10" s="46" t="n"/>
      <c r="J10" s="47">
        <f>B10</f>
        <v/>
      </c>
      <c r="K10" s="42">
        <f>C10</f>
        <v/>
      </c>
      <c r="L10" s="44" t="inlineStr">
        <is>
          <t>HH</t>
        </is>
      </c>
      <c r="M10" s="64">
        <f>E10*$K10</f>
        <v/>
      </c>
      <c r="N10" s="65">
        <f>F10*$K10</f>
        <v/>
      </c>
      <c r="O10" s="65">
        <f>G10*$K10</f>
        <v/>
      </c>
      <c r="P10" s="66">
        <f>H10*$K10</f>
        <v/>
      </c>
      <c r="R10" s="108">
        <f>VLOOKUP(B10,costos!$B:$C,2,0)</f>
        <v/>
      </c>
      <c r="S10" s="109" t="n"/>
      <c r="T10" s="38" t="n"/>
      <c r="U10" s="38" t="n"/>
      <c r="V10" s="38" t="n"/>
      <c r="W10" s="38" t="n"/>
      <c r="X10" s="110" t="n"/>
      <c r="AB10" s="96" t="n"/>
    </row>
    <row r="11">
      <c r="A11" s="6" t="n">
        <v>7</v>
      </c>
      <c r="B11" s="41" t="inlineStr">
        <is>
          <t>Diseñador UX/UI Industrial</t>
        </is>
      </c>
      <c r="C11" s="42" t="n">
        <v>1</v>
      </c>
      <c r="D11" s="43" t="inlineStr">
        <is>
          <t>HH</t>
        </is>
      </c>
      <c r="E11" s="44" t="n"/>
      <c r="F11" s="45" t="n"/>
      <c r="G11" s="45" t="n"/>
      <c r="H11" s="46" t="n"/>
      <c r="J11" s="47">
        <f>B11</f>
        <v/>
      </c>
      <c r="K11" s="42">
        <f>C11</f>
        <v/>
      </c>
      <c r="L11" s="44" t="inlineStr">
        <is>
          <t>HH</t>
        </is>
      </c>
      <c r="M11" s="64">
        <f>E11*$K11</f>
        <v/>
      </c>
      <c r="N11" s="65">
        <f>F11*$K11</f>
        <v/>
      </c>
      <c r="O11" s="65">
        <f>G11*$K11</f>
        <v/>
      </c>
      <c r="P11" s="66">
        <f>H11*$K11</f>
        <v/>
      </c>
      <c r="R11" s="108">
        <f>VLOOKUP(B11,costos!$B:$C,2,0)</f>
        <v/>
      </c>
      <c r="S11" s="109" t="n"/>
      <c r="T11" s="38" t="n"/>
      <c r="U11" s="38" t="n"/>
      <c r="V11" s="38" t="n"/>
      <c r="W11" s="38" t="n"/>
      <c r="X11" s="110" t="n"/>
      <c r="AB11" s="96" t="n"/>
    </row>
    <row r="12">
      <c r="A12" s="6" t="n">
        <v>8</v>
      </c>
      <c r="B12" s="41" t="inlineStr">
        <is>
          <t>QA / Tester</t>
        </is>
      </c>
      <c r="C12" s="42" t="n">
        <v>1</v>
      </c>
      <c r="D12" s="43" t="inlineStr">
        <is>
          <t>HH</t>
        </is>
      </c>
      <c r="E12" s="44" t="n"/>
      <c r="F12" s="45" t="n"/>
      <c r="G12" s="45" t="n"/>
      <c r="H12" s="46" t="n"/>
      <c r="J12" s="47">
        <f>B12</f>
        <v/>
      </c>
      <c r="K12" s="42">
        <f>C12</f>
        <v/>
      </c>
      <c r="L12" s="44" t="inlineStr">
        <is>
          <t>HH</t>
        </is>
      </c>
      <c r="M12" s="64">
        <f>E12*$K12</f>
        <v/>
      </c>
      <c r="N12" s="65">
        <f>F12*$K12</f>
        <v/>
      </c>
      <c r="O12" s="65">
        <f>G12*$K12</f>
        <v/>
      </c>
      <c r="P12" s="66">
        <f>H12*$K12</f>
        <v/>
      </c>
      <c r="R12" s="108">
        <f>VLOOKUP(B12,costos!$B:$C,2,0)</f>
        <v/>
      </c>
      <c r="S12" s="109" t="n"/>
      <c r="T12" s="38" t="n"/>
      <c r="U12" s="38" t="n"/>
      <c r="V12" s="38" t="n"/>
      <c r="W12" s="38" t="n"/>
      <c r="X12" s="110" t="n"/>
      <c r="AB12" s="96" t="n"/>
    </row>
    <row r="13" ht="28.2" customHeight="1" thickBot="1">
      <c r="A13" s="6" t="n">
        <v>9</v>
      </c>
      <c r="B13" s="52" t="inlineStr">
        <is>
          <t>Documentador/ Soporte / Capacitación</t>
        </is>
      </c>
      <c r="C13" s="53" t="n">
        <v>1</v>
      </c>
      <c r="D13" s="54" t="inlineStr">
        <is>
          <t>HH</t>
        </is>
      </c>
      <c r="E13" s="55" t="n"/>
      <c r="F13" s="56" t="n"/>
      <c r="G13" s="56" t="n"/>
      <c r="H13" s="57" t="n"/>
      <c r="J13" s="58">
        <f>B13</f>
        <v/>
      </c>
      <c r="K13" s="42">
        <f>C13</f>
        <v/>
      </c>
      <c r="L13" s="59" t="inlineStr">
        <is>
          <t>HH</t>
        </is>
      </c>
      <c r="M13" s="60">
        <f>E13*$K13</f>
        <v/>
      </c>
      <c r="N13" s="61">
        <f>F13*$K13</f>
        <v/>
      </c>
      <c r="O13" s="61">
        <f>G13*$K13</f>
        <v/>
      </c>
      <c r="P13" s="62">
        <f>H13*$K13</f>
        <v/>
      </c>
      <c r="R13" s="108">
        <f>VLOOKUP(B13,costos!$B:$C,2,0)</f>
        <v/>
      </c>
      <c r="S13" s="109" t="n"/>
      <c r="T13" s="38" t="n"/>
      <c r="U13" s="38" t="n"/>
      <c r="V13" s="38" t="n"/>
      <c r="W13" s="38" t="n"/>
      <c r="X13" s="110" t="n"/>
      <c r="AB13" s="96" t="n"/>
    </row>
    <row r="14">
      <c r="J14" s="63" t="inlineStr">
        <is>
          <t>Sub Total</t>
        </is>
      </c>
      <c r="L14" s="44" t="inlineStr">
        <is>
          <t>USD</t>
        </is>
      </c>
      <c r="M14" s="64">
        <f>+$R$17</f>
        <v/>
      </c>
      <c r="N14" s="65">
        <f>+$R$17</f>
        <v/>
      </c>
      <c r="O14" s="65">
        <f>+$R$17</f>
        <v/>
      </c>
      <c r="P14" s="66">
        <f>+$R$17</f>
        <v/>
      </c>
      <c r="T14" s="38" t="n"/>
      <c r="U14" s="38" t="n"/>
      <c r="V14" s="38" t="n"/>
      <c r="W14" s="38" t="n"/>
      <c r="X14" s="110" t="n"/>
    </row>
    <row r="15">
      <c r="J15" s="63" t="inlineStr">
        <is>
          <t>Costos indirectos</t>
        </is>
      </c>
      <c r="K15" s="100" t="n">
        <v>0.1</v>
      </c>
      <c r="L15" s="44" t="inlineStr">
        <is>
          <t>USD</t>
        </is>
      </c>
      <c r="M15" s="64">
        <f>+$K$15*M14</f>
        <v/>
      </c>
      <c r="N15" s="65">
        <f>+$K$15*N14</f>
        <v/>
      </c>
      <c r="O15" s="65">
        <f>+$K$15*O14</f>
        <v/>
      </c>
      <c r="P15" s="66">
        <f>+$K$15*P14</f>
        <v/>
      </c>
      <c r="T15" s="38" t="n"/>
      <c r="U15" s="38" t="n"/>
      <c r="V15" s="38" t="n"/>
      <c r="W15" s="38" t="n"/>
      <c r="X15" s="110" t="n"/>
    </row>
    <row r="16" ht="15" customHeight="1" thickBot="1">
      <c r="J16" s="68" t="inlineStr">
        <is>
          <t>Gastos administrativos</t>
        </is>
      </c>
      <c r="K16" s="69" t="n">
        <v>0.1</v>
      </c>
      <c r="L16" s="55" t="inlineStr">
        <is>
          <t>USD</t>
        </is>
      </c>
      <c r="M16" s="70">
        <f>M14*$K$16</f>
        <v/>
      </c>
      <c r="N16" s="71">
        <f>N14*$K$16</f>
        <v/>
      </c>
      <c r="O16" s="71">
        <f>O14*$K$16</f>
        <v/>
      </c>
      <c r="P16" s="72">
        <f>P14*$K$16</f>
        <v/>
      </c>
      <c r="R16" s="73" t="n"/>
      <c r="T16" s="38" t="n"/>
      <c r="U16" s="38" t="n"/>
      <c r="V16" s="38" t="n"/>
      <c r="W16" s="38" t="n"/>
      <c r="X16" s="110" t="n"/>
    </row>
    <row r="17">
      <c r="J17" s="63" t="inlineStr">
        <is>
          <t>Sub Total</t>
        </is>
      </c>
      <c r="K17" s="45" t="n"/>
      <c r="L17" s="44" t="inlineStr">
        <is>
          <t>USD</t>
        </is>
      </c>
      <c r="M17" s="33">
        <f>SUM(M14:M16)</f>
        <v/>
      </c>
      <c r="N17" s="34">
        <f>SUM(N14:N16)</f>
        <v/>
      </c>
      <c r="O17" s="34">
        <f>SUM(O14:O16)</f>
        <v/>
      </c>
      <c r="P17" s="35">
        <f>SUM(P14:P16)</f>
        <v/>
      </c>
      <c r="R17" s="65">
        <f>+SUM(AD5:AG5)/4</f>
        <v/>
      </c>
    </row>
    <row r="18" ht="15" customHeight="1" thickBot="1">
      <c r="J18" s="68" t="inlineStr">
        <is>
          <t>Utilidad</t>
        </is>
      </c>
      <c r="K18" s="74" t="n">
        <v>0.1</v>
      </c>
      <c r="L18" s="55" t="inlineStr">
        <is>
          <t>USD</t>
        </is>
      </c>
      <c r="M18" s="75">
        <f>M17*$K$18</f>
        <v/>
      </c>
      <c r="N18" s="76">
        <f>N17*$K$18</f>
        <v/>
      </c>
      <c r="O18" s="76">
        <f>O17*$K$18</f>
        <v/>
      </c>
      <c r="P18" s="77">
        <f>P17*$K$18</f>
        <v/>
      </c>
      <c r="R18" s="112">
        <f>+P19/P14</f>
        <v/>
      </c>
    </row>
    <row r="19" ht="15" customHeight="1" thickBot="1">
      <c r="J19" s="79" t="inlineStr">
        <is>
          <t>Costo total mensual</t>
        </is>
      </c>
      <c r="K19" s="20" t="n"/>
      <c r="L19" s="19" t="inlineStr">
        <is>
          <t>USD</t>
        </is>
      </c>
      <c r="M19" s="80">
        <f>SUM(M17:M18)</f>
        <v/>
      </c>
      <c r="N19" s="81">
        <f>SUM(N17:N18)</f>
        <v/>
      </c>
      <c r="O19" s="81">
        <f>SUM(O17:O18)</f>
        <v/>
      </c>
      <c r="P19" s="82">
        <f>SUM(P17:P18)</f>
        <v/>
      </c>
      <c r="Q19" s="83" t="n"/>
      <c r="R19" s="112" t="n"/>
    </row>
    <row r="20" ht="15" customHeight="1" thickBot="1">
      <c r="J20" s="85" t="inlineStr">
        <is>
          <t>Total</t>
        </is>
      </c>
      <c r="K20" s="105" t="n"/>
      <c r="L20" s="19" t="inlineStr">
        <is>
          <t>USD</t>
        </is>
      </c>
      <c r="M20" s="86" t="n"/>
      <c r="N20" s="87" t="n"/>
      <c r="O20" s="87" t="n"/>
      <c r="P20" s="88">
        <f>+SUM(M19:P19)</f>
        <v/>
      </c>
      <c r="S20" s="89" t="n"/>
      <c r="AB20" s="113" t="n"/>
      <c r="AC20" s="113" t="n"/>
    </row>
    <row r="23">
      <c r="G23" s="91" t="n"/>
      <c r="P23" s="92" t="n"/>
    </row>
    <row r="24">
      <c r="G24" s="91" t="n"/>
    </row>
    <row r="25">
      <c r="O25" s="93" t="inlineStr">
        <is>
          <t>USD/MES</t>
        </is>
      </c>
      <c r="P25" s="114">
        <f>+P20/4</f>
        <v/>
      </c>
    </row>
    <row r="26">
      <c r="O26" s="95" t="inlineStr">
        <is>
          <t>USD/HH</t>
        </is>
      </c>
      <c r="P26" s="114">
        <f>+P20/SUM(M5:P13)</f>
        <v/>
      </c>
    </row>
    <row r="27">
      <c r="O27" s="96" t="inlineStr">
        <is>
          <t>USD/PERS</t>
        </is>
      </c>
      <c r="P27" s="115">
        <f>+(P20/SUM(K5:K13))/4</f>
        <v/>
      </c>
    </row>
    <row r="29" ht="16.2" customHeight="1" thickBot="1">
      <c r="J29" s="7" t="n"/>
      <c r="K29" s="12" t="n"/>
      <c r="L29" s="7" t="n"/>
      <c r="O29" s="6" t="n"/>
    </row>
    <row r="30" ht="15" customHeight="1" thickBot="1">
      <c r="J30" s="98" t="n"/>
      <c r="K30" s="22" t="n"/>
      <c r="L30" s="18" t="n"/>
      <c r="M30" s="18" t="n"/>
      <c r="N30" s="22" t="n"/>
      <c r="O30" s="22" t="n"/>
      <c r="P30" s="99" t="n"/>
    </row>
    <row r="31">
      <c r="J31" s="63" t="n"/>
      <c r="L31" s="44" t="n"/>
      <c r="M31" s="64" t="n"/>
      <c r="N31" s="65" t="n"/>
      <c r="O31" s="65" t="n"/>
      <c r="P31" s="66" t="n"/>
    </row>
    <row r="32">
      <c r="J32" s="63" t="n"/>
      <c r="K32" s="100" t="n"/>
      <c r="L32" s="44" t="n"/>
      <c r="M32" s="64" t="n"/>
      <c r="N32" s="65" t="n"/>
      <c r="O32" s="65" t="n"/>
      <c r="P32" s="66" t="n"/>
    </row>
    <row r="33" ht="15" customHeight="1" thickBot="1">
      <c r="J33" s="68" t="n"/>
      <c r="K33" s="69" t="n"/>
      <c r="L33" s="55" t="n"/>
      <c r="M33" s="70" t="n"/>
      <c r="N33" s="71" t="n"/>
      <c r="O33" s="71" t="n"/>
      <c r="P33" s="72" t="n"/>
    </row>
    <row r="34">
      <c r="J34" s="63" t="n"/>
      <c r="K34" s="45" t="n"/>
      <c r="L34" s="44" t="n"/>
      <c r="M34" s="33" t="n"/>
      <c r="N34" s="34" t="n"/>
      <c r="O34" s="34" t="n"/>
      <c r="P34" s="35" t="n"/>
    </row>
    <row r="35" ht="15" customHeight="1" thickBot="1">
      <c r="J35" s="68" t="n"/>
      <c r="K35" s="74" t="n"/>
      <c r="L35" s="55" t="n"/>
      <c r="M35" s="75" t="n"/>
      <c r="N35" s="76" t="n"/>
      <c r="O35" s="76" t="n"/>
      <c r="P35" s="77" t="n"/>
    </row>
    <row r="36" ht="15" customHeight="1" thickBot="1">
      <c r="J36" s="79" t="n"/>
      <c r="K36" s="20" t="n"/>
      <c r="L36" s="19" t="n"/>
      <c r="M36" s="80" t="n"/>
      <c r="N36" s="81" t="n"/>
      <c r="O36" s="81" t="n"/>
      <c r="P36" s="82" t="n"/>
    </row>
    <row r="37" ht="15" customHeight="1" thickBot="1">
      <c r="J37" s="101" t="n"/>
      <c r="K37" s="86" t="n"/>
      <c r="L37" s="101" t="n"/>
      <c r="M37" s="86" t="n"/>
      <c r="N37" s="87" t="n"/>
      <c r="O37" s="87" t="n"/>
      <c r="P37" s="88" t="n"/>
    </row>
  </sheetData>
  <mergeCells count="4">
    <mergeCell ref="E3:H3"/>
    <mergeCell ref="B1:J1"/>
    <mergeCell ref="M3:P3"/>
    <mergeCell ref="J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E6" sqref="E6"/>
    </sheetView>
  </sheetViews>
  <sheetFormatPr baseColWidth="8" defaultRowHeight="14.4"/>
  <cols>
    <col width="50.33203125" customWidth="1" min="2" max="2"/>
  </cols>
  <sheetData>
    <row r="1">
      <c r="B1" s="96" t="inlineStr">
        <is>
          <t>Profesional</t>
        </is>
      </c>
      <c r="C1" s="96" t="inlineStr">
        <is>
          <t>USD/HH</t>
        </is>
      </c>
    </row>
    <row r="2">
      <c r="B2" s="103" t="inlineStr">
        <is>
          <t>Líder del Proyecto</t>
        </is>
      </c>
      <c r="C2" s="95" t="n">
        <v>32</v>
      </c>
    </row>
    <row r="3">
      <c r="B3" s="103" t="inlineStr">
        <is>
          <t>Ingeniero de Datos</t>
        </is>
      </c>
      <c r="C3" s="95" t="n">
        <v>25</v>
      </c>
    </row>
    <row r="4">
      <c r="B4" s="103" t="inlineStr">
        <is>
          <t>Desarrollador Backend</t>
        </is>
      </c>
      <c r="C4" s="95" t="n">
        <v>25</v>
      </c>
    </row>
    <row r="5">
      <c r="B5" s="103" t="inlineStr">
        <is>
          <t>Científico de Datos / Modelador de Reglas</t>
        </is>
      </c>
      <c r="C5" s="95" t="n">
        <v>28</v>
      </c>
    </row>
    <row r="6">
      <c r="B6" s="103" t="inlineStr">
        <is>
          <t>Modelador 3D / CAD Industrial</t>
        </is>
      </c>
      <c r="C6" s="95" t="n">
        <v>18</v>
      </c>
    </row>
    <row r="7">
      <c r="B7" s="103" t="inlineStr">
        <is>
          <t>Desarrollador Frontend 3D</t>
        </is>
      </c>
      <c r="C7" s="95" t="n">
        <v>20</v>
      </c>
    </row>
    <row r="8">
      <c r="B8" s="103" t="inlineStr">
        <is>
          <t>Diseñador UX/UI Industrial</t>
        </is>
      </c>
      <c r="C8" s="95" t="n">
        <v>18</v>
      </c>
    </row>
    <row r="9">
      <c r="B9" s="103" t="inlineStr">
        <is>
          <t>QA / Tester</t>
        </is>
      </c>
      <c r="C9" s="95" t="n">
        <v>22</v>
      </c>
    </row>
    <row r="10">
      <c r="B10" s="103" t="inlineStr">
        <is>
          <t>Documentador/ Soporte / Capacitación</t>
        </is>
      </c>
      <c r="C10" s="95" t="n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N° Personas</t>
        </is>
      </c>
      <c r="C1" t="inlineStr">
        <is>
          <t>Horas</t>
        </is>
      </c>
      <c r="D1" t="inlineStr">
        <is>
          <t>Costo Horario Promedio (USD/HH)</t>
        </is>
      </c>
      <c r="E1" t="inlineStr">
        <is>
          <t>Costo Mano de Obra (USD)</t>
        </is>
      </c>
      <c r="F1" t="inlineStr">
        <is>
          <t>Costo Total con Overhead (USD)</t>
        </is>
      </c>
    </row>
    <row r="2">
      <c r="A2" t="inlineStr">
        <is>
          <t>Mes 1</t>
        </is>
      </c>
      <c r="B2">
        <f>SUMPRODUCT(('Propuesta Modelo'!M5:M13&gt;0)*'Propuesta Modelo'!$K$5:$K$13)</f>
        <v/>
      </c>
      <c r="C2">
        <f>SUM('Propuesta Modelo'!M5:M13)</f>
        <v/>
      </c>
      <c r="D2">
        <f>IF(C2=0,0,E2/C2)</f>
        <v/>
      </c>
      <c r="E2">
        <f>'Propuesta Modelo'!AD5</f>
        <v/>
      </c>
      <c r="F2">
        <f>E2*(1+'Propuesta Modelo'!$K$15+'Propuesta Modelo'!$K$16)*(1+'Propuesta Modelo'!$K$18)</f>
        <v/>
      </c>
    </row>
    <row r="3">
      <c r="A3" t="inlineStr">
        <is>
          <t>Mes 2</t>
        </is>
      </c>
      <c r="B3">
        <f>SUMPRODUCT(('Propuesta Modelo'!N5:N13&gt;0)*'Propuesta Modelo'!$K$5:$K$13)</f>
        <v/>
      </c>
      <c r="C3">
        <f>SUM('Propuesta Modelo'!N5:N13)</f>
        <v/>
      </c>
      <c r="D3">
        <f>IF(C3=0,0,E3/C3)</f>
        <v/>
      </c>
      <c r="E3">
        <f>'Propuesta Modelo'!AE5</f>
        <v/>
      </c>
      <c r="F3">
        <f>E3*(1+'Propuesta Modelo'!$K$15+'Propuesta Modelo'!$K$16)*(1+'Propuesta Modelo'!$K$18)</f>
        <v/>
      </c>
    </row>
    <row r="4">
      <c r="A4" t="inlineStr">
        <is>
          <t>Mes 3</t>
        </is>
      </c>
      <c r="B4">
        <f>SUMPRODUCT(('Propuesta Modelo'!O5:O13&gt;0)*'Propuesta Modelo'!$K$5:$K$13)</f>
        <v/>
      </c>
      <c r="C4">
        <f>SUM('Propuesta Modelo'!O5:O13)</f>
        <v/>
      </c>
      <c r="D4">
        <f>IF(C4=0,0,E4/C4)</f>
        <v/>
      </c>
      <c r="E4">
        <f>'Propuesta Modelo'!AF5</f>
        <v/>
      </c>
      <c r="F4">
        <f>E4*(1+'Propuesta Modelo'!$K$15+'Propuesta Modelo'!$K$16)*(1+'Propuesta Modelo'!$K$18)</f>
        <v/>
      </c>
    </row>
    <row r="5">
      <c r="A5" t="inlineStr">
        <is>
          <t>Mes 4</t>
        </is>
      </c>
      <c r="B5">
        <f>SUMPRODUCT(('Propuesta Modelo'!P5:P13&gt;0)*'Propuesta Modelo'!$K$5:$K$13)</f>
        <v/>
      </c>
      <c r="C5">
        <f>SUM('Propuesta Modelo'!P5:P13)</f>
        <v/>
      </c>
      <c r="D5">
        <f>IF(C5=0,0,E5/C5)</f>
        <v/>
      </c>
      <c r="E5">
        <f>'Propuesta Modelo'!AG5</f>
        <v/>
      </c>
      <c r="F5">
        <f>E5*(1+'Propuesta Modelo'!$K$15+'Propuesta Modelo'!$K$16)*(1+'Propuesta Modelo'!$K$18)</f>
        <v/>
      </c>
    </row>
    <row r="6">
      <c r="A6" t="inlineStr">
        <is>
          <t>TOTAL PROYECTO</t>
        </is>
      </c>
      <c r="B6">
        <f>MAX(B2:B5)</f>
        <v/>
      </c>
      <c r="C6">
        <f>SUM(C2:C5)</f>
        <v/>
      </c>
      <c r="D6">
        <f>IF(C6=0,0,E6/C6)</f>
        <v/>
      </c>
      <c r="E6">
        <f>SUM(E2:E5)</f>
        <v/>
      </c>
      <c r="F6">
        <f>SUM(F2:F5)</f>
        <v/>
      </c>
    </row>
    <row r="8">
      <c r="A8" t="inlineStr">
        <is>
          <t>N° Personas = headcount con horas&gt;0 ese mes (no es acumulable entre meses). TOTAL PROYECTO usa el pico (máximo mensual).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Ignacio Uribe</dc:creator>
  <dcterms:created xmlns:dcterms="http://purl.org/dc/terms/" xmlns:xsi="http://www.w3.org/2001/XMLSchema-instance" xsi:type="dcterms:W3CDTF">2026-07-13T16:05:57Z</dcterms:created>
  <dcterms:modified xmlns:dcterms="http://purl.org/dc/terms/" xmlns:xsi="http://www.w3.org/2001/XMLSchema-instance" xsi:type="dcterms:W3CDTF">2026-07-14T17:11:18Z</dcterms:modified>
  <cp:lastModifiedBy>Ignacio Uribe</cp:lastModifiedBy>
</cp:coreProperties>
</file>